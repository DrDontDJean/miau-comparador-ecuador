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d57dd050b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endas de Ecuador" sheetId="1" r:id="R7693ecac89d8432c"/>
    <x:sheet xmlns:r="http://schemas.openxmlformats.org/officeDocument/2006/relationships" name="APIs y paginación" sheetId="2" r:id="Rda56f50fb961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f33ee4b114889" /><Relationship Type="http://schemas.openxmlformats.org/officeDocument/2006/relationships/theme" Target="/xl/theme/theme1.xml" Id="R3dd12d2562e64ead" /><Relationship Type="http://schemas.openxmlformats.org/officeDocument/2006/relationships/sharedStrings" Target="/xl/sharedStrings.xml" Id="R005655ee76364fde" /><Relationship Type="http://schemas.openxmlformats.org/officeDocument/2006/relationships/worksheet" Target="/xl/worksheets/sheet1.xml" Id="R7693ecac89d8432c" /><Relationship Type="http://schemas.openxmlformats.org/officeDocument/2006/relationships/worksheet" Target="/xl/worksheets/sheet2.xml" Id="Rda56f50fb96147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0" hidden="0" customWidth="1"/>
    <x:col min="3" max="3" width="21.25" hidden="0" customWidth="1"/>
    <x:col min="4" max="4" width="21.25" hidden="0" customWidth="1"/>
    <x:col min="5" max="5" width="18.75" hidden="0" customWidth="1"/>
    <x:col min="6" max="6" width="21.8799991607666" hidden="0" customWidth="1"/>
    <x:col min="7" max="7" width="50" hidden="0" customWidth="1"/>
    <x:col min="8" max="8" width="41.25" hidden="0" customWidth="1"/>
    <x:col min="9" max="9" width="35" hidden="0" customWidth="1"/>
  </x:cols>
  <x:sheetData>
    <x:row r="1" ht="36" hidden="0" customHeight="1">
      <x:c r="A1" s="3" t="str">
        <x:v>Tienda</x:v>
      </x:c>
      <x:c r="B1" s="3" t="str">
        <x:v>Sector principal</x:v>
      </x:c>
      <x:c r="C1" s="3" t="str">
        <x:v>API / plataforma</x:v>
      </x:c>
      <x:c r="D1" s="3" t="str">
        <x:v>Revisión del 22/09/2026</x:v>
      </x:c>
      <x:c r="E1" s="3" t="str">
        <x:v>Estado en Miau</x:v>
      </x:c>
      <x:c r="F1" s="3" t="str">
        <x:v>Autenticación observada</x:v>
      </x:c>
      <x:c r="G1" s="3" t="str">
        <x:v>Observación</x:v>
      </x:c>
      <x:c r="H1" s="3" t="str">
        <x:v>API utilizada en Miau</x:v>
      </x:c>
      <x:c r="I1" s="3" t="str">
        <x:v>Sitio oficial / fuente</x:v>
      </x:c>
    </x:row>
    <x:row r="2" ht="66" hidden="0" customHeight="1">
      <x:c r="A2" s="3" t="str">
        <x:v>Frecuento</x:v>
      </x:c>
      <x:c r="B2" s="3" t="str">
        <x:v>General</x:v>
      </x:c>
      <x:c r="C2" s="3" t="str">
        <x:v>Frecuento REST</x:v>
      </x:c>
      <x:c r="D2" s="3" t="str">
        <x:v>Comprobada</x:v>
      </x:c>
      <x:c r="E2" s="3" t="str">
        <x:v>Integrada</x:v>
      </x:c>
      <x:c r="F2" s="3" t="str">
        <x:v>Sin credenciales</x:v>
      </x:c>
      <x:c r="G2" s="3" t="str">
        <x:v>Normalización de precios y variantes. Búsqueda sobre MongoDB.</x:v>
      </x:c>
      <x:c r="H2" s="3" t="e">
        <x:f>HYPERLINK("https://app.frecuento.com/products/?limit=500&amp;page=1","https://app.frecuento.com/products/?limit=500&amp;page=1")</x:f>
        <x:v>HYPERLINK is not implemented. linkLocation=https://app.frecuento.com/products/?limit=500&amp;page=1, friendlyName=https://app.frecuento.com/products/?limit=500&amp;page=1</x:v>
      </x:c>
      <x:c r="I2" s="3" t="e">
        <x:f>HYPERLINK("https://www.frecuento.com/","https://www.frecuento.com/")</x:f>
        <x:v>HYPERLINK is not implemented. linkLocation=https://www.frecuento.com/, friendlyName=https://www.frecuento.com/</x:v>
      </x:c>
    </x:row>
    <x:row r="3" ht="92.4000015258789" hidden="0" customHeight="1">
      <x:c r="A3" s="3" t="str">
        <x:v>Comandato</x:v>
      </x:c>
      <x:c r="B3" s="3" t="str">
        <x:v>Electrodomésticos</x:v>
      </x:c>
      <x:c r="C3" s="3" t="str">
        <x:v>VTEX</x:v>
      </x:c>
      <x:c r="D3" s="3" t="str">
        <x:v>Comprobada</x:v>
      </x:c>
      <x:c r="E3" s="3" t="str">
        <x:v>Integrada</x:v>
      </x:c>
      <x:c r="F3" s="3" t="str">
        <x:v>Sin credenciales</x:v>
      </x:c>
      <x:c r="G3" s="3" t="str">
        <x:v>IDs únicos frente al total declarado. Conserva variantes y vendedores.</x:v>
      </x:c>
      <x:c r="H3" s="3" t="e">
        <x:f>HYPERLINK("https://www.comandato.com/api/catalog_system/pub/products/search?_from=0&amp;_to=49&amp;O=OrderByNameASC","https://www.comandato.com/api/catalog_system/pub/products/search?_from=0&amp;_to=49&amp;O=OrderByNameASC")</x:f>
        <x:v>HYPERLINK is not implemented. linkLocation=https://www.comandato.com/api/catalog_system/pub/products/search?_from=0&amp;_to=49&amp;O=OrderByNameASC, friendlyName=https://www.comandato.com/api/catalog_system/pub/products/search?_from=0&amp;_to=49&amp;O=OrderByNameASC</x:v>
      </x:c>
      <x:c r="I3" s="3" t="e">
        <x:f>HYPERLINK("https://www.comandato.com","https://www.comandato.com")</x:f>
        <x:v>HYPERLINK is not implemented. linkLocation=https://www.comandato.com, friendlyName=https://www.comandato.com</x:v>
      </x:c>
    </x:row>
    <x:row r="4" ht="92.4000015258789" hidden="0" customHeight="1">
      <x:c r="A4" s="3" t="str">
        <x:v>Computron</x:v>
      </x:c>
      <x:c r="B4" s="3" t="str">
        <x:v>Tecnología</x:v>
      </x:c>
      <x:c r="C4" s="3" t="str">
        <x:v>WooCommerce</x:v>
      </x:c>
      <x:c r="D4" s="3" t="str">
        <x:v>Comprobada</x:v>
      </x:c>
      <x:c r="E4" s="3" t="str">
        <x:v>Integrada</x:v>
      </x:c>
      <x:c r="F4" s="3" t="str">
        <x:v>Sin credenciales</x:v>
      </x:c>
      <x:c r="G4" s="3" t="str">
        <x:v>Convierte prices.price según currency_minor_unit. Moneda USD.</x:v>
      </x:c>
      <x:c r="H4" s="3" t="e">
        <x:f>HYPERLINK("https://www.computron.com.ec/wp-json/wc/store/v1/products?per_page=100&amp;page=1&amp;orderby=id&amp;order=asc","https://www.computron.com.ec/wp-json/wc/store/v1/products?per_page=100&amp;page=1&amp;orderby=id&amp;order=asc")</x:f>
        <x:v>HYPERLINK is not implemented. linkLocation=https://www.computron.com.ec/wp-json/wc/store/v1/products?per_page=100&amp;page=1&amp;orderby=id&amp;order=asc, friendlyName=https://www.computron.com.ec/wp-json/wc/store/v1/products?per_page=100&amp;page=1&amp;orderby=id&amp;order=asc</x:v>
      </x:c>
      <x:c r="I4" s="3" t="e">
        <x:f>HYPERLINK("https://www.computron.com.ec","https://www.computron.com.ec")</x:f>
        <x:v>HYPERLINK is not implemented. linkLocation=https://www.computron.com.ec, friendlyName=https://www.computron.com.ec</x:v>
      </x:c>
    </x:row>
    <x:row r="5" ht="92.4000015258789" hidden="0" customHeight="1">
      <x:c r="A5" s="3" t="str">
        <x:v>Créditos Económicos</x:v>
      </x:c>
      <x:c r="B5" s="3" t="str">
        <x:v>Electrodomésticos</x:v>
      </x:c>
      <x:c r="C5" s="3" t="str">
        <x:v>VTEX</x:v>
      </x:c>
      <x:c r="D5" s="3" t="str">
        <x:v>Comprobada</x:v>
      </x:c>
      <x:c r="E5" s="3" t="str">
        <x:v>Integrada</x:v>
      </x:c>
      <x:c r="F5" s="3" t="str">
        <x:v>Sin credenciales</x:v>
      </x:c>
      <x:c r="G5" s="3" t="str">
        <x:v>IDs únicos frente al total declarado. Conserva variantes y vendedores.</x:v>
      </x:c>
      <x:c r="H5" s="3" t="e">
        <x:f>HYPERLINK("https://www.crecos.com/api/catalog_system/pub/products/search?_from=0&amp;_to=49&amp;O=OrderByNameASC","https://www.crecos.com/api/catalog_system/pub/products/search?_from=0&amp;_to=49&amp;O=OrderByNameASC")</x:f>
        <x:v>HYPERLINK is not implemented. linkLocation=https://www.crecos.com/api/catalog_system/pub/products/search?_from=0&amp;_to=49&amp;O=OrderByNameASC, friendlyName=https://www.crecos.com/api/catalog_system/pub/products/search?_from=0&amp;_to=49&amp;O=OrderByNameASC</x:v>
      </x:c>
      <x:c r="I5" s="3" t="e">
        <x:f>HYPERLINK("https://www.crecos.com/","https://www.crecos.com/")</x:f>
        <x:v>HYPERLINK is not implemented. linkLocation=https://www.crecos.com/, friendlyName=https://www.crecos.com/</x:v>
      </x:c>
    </x:row>
    <x:row r="6" ht="92.4000015258789" hidden="0" customHeight="1">
      <x:c r="A6" s="3" t="str">
        <x:v>Marcimex</x:v>
      </x:c>
      <x:c r="B6" s="3" t="str">
        <x:v>Electrodomésticos</x:v>
      </x:c>
      <x:c r="C6" s="3" t="str">
        <x:v>VTEX</x:v>
      </x:c>
      <x:c r="D6" s="3" t="str">
        <x:v>Comprobada</x:v>
      </x:c>
      <x:c r="E6" s="3" t="str">
        <x:v>Integrada</x:v>
      </x:c>
      <x:c r="F6" s="3" t="str">
        <x:v>Sin credenciales</x:v>
      </x:c>
      <x:c r="G6" s="3" t="str">
        <x:v>IDs únicos frente al total declarado. Conserva variantes y vendedores.</x:v>
      </x:c>
      <x:c r="H6" s="3" t="e">
        <x:f>HYPERLINK("https://www.marcimex.com/api/catalog_system/pub/products/search?_from=0&amp;_to=49&amp;O=OrderByNameASC","https://www.marcimex.com/api/catalog_system/pub/products/search?_from=0&amp;_to=49&amp;O=OrderByNameASC")</x:f>
        <x:v>HYPERLINK is not implemented. linkLocation=https://www.marcimex.com/api/catalog_system/pub/products/search?_from=0&amp;_to=49&amp;O=OrderByNameASC, friendlyName=https://www.marcimex.com/api/catalog_system/pub/products/search?_from=0&amp;_to=49&amp;O=OrderByNameASC</x:v>
      </x:c>
      <x:c r="I6" s="3" t="e">
        <x:f>HYPERLINK("https://www.marcimex.com","https://www.marcimex.com")</x:f>
        <x:v>HYPERLINK is not implemented. linkLocation=https://www.marcimex.com, friendlyName=https://www.marcimex.com</x:v>
      </x:c>
    </x:row>
    <x:row r="7" ht="92.4000015258789" hidden="0" customHeight="1">
      <x:c r="A7" s="3" t="str">
        <x:v>Novicompu</x:v>
      </x:c>
      <x:c r="B7" s="3" t="str">
        <x:v>Tecnología</x:v>
      </x:c>
      <x:c r="C7" s="3" t="str">
        <x:v>VTEX</x:v>
      </x:c>
      <x:c r="D7" s="3" t="str">
        <x:v>Comprobada</x:v>
      </x:c>
      <x:c r="E7" s="3" t="str">
        <x:v>Integrada</x:v>
      </x:c>
      <x:c r="F7" s="3" t="str">
        <x:v>Sin credenciales</x:v>
      </x:c>
      <x:c r="G7" s="3" t="str">
        <x:v>IDs únicos frente al total declarado. Conserva variantes y vendedores.</x:v>
      </x:c>
      <x:c r="H7" s="3" t="e">
        <x:f>HYPERLINK("https://www.novicompu.com/api/catalog_system/pub/products/search?_from=0&amp;_to=49&amp;O=OrderByNameASC","https://www.novicompu.com/api/catalog_system/pub/products/search?_from=0&amp;_to=49&amp;O=OrderByNameASC")</x:f>
        <x:v>HYPERLINK is not implemented. linkLocation=https://www.novicompu.com/api/catalog_system/pub/products/search?_from=0&amp;_to=49&amp;O=OrderByNameASC, friendlyName=https://www.novicompu.com/api/catalog_system/pub/products/search?_from=0&amp;_to=49&amp;O=OrderByNameASC</x:v>
      </x:c>
      <x:c r="I7" s="3" t="e">
        <x:f>HYPERLINK("https://www.novicompu.com","https://www.novicompu.com")</x:f>
        <x:v>HYPERLINK is not implemented. linkLocation=https://www.novicompu.com, friendlyName=https://www.novicompu.com</x:v>
      </x:c>
    </x:row>
    <x:row r="8" ht="92.4000015258789" hidden="0" customHeight="1">
      <x:c r="A8" s="3" t="str">
        <x:v>Pycca</x:v>
      </x:c>
      <x:c r="B8" s="3" t="str">
        <x:v>Hogar</x:v>
      </x:c>
      <x:c r="C8" s="3" t="str">
        <x:v>VTEX</x:v>
      </x:c>
      <x:c r="D8" s="3" t="str">
        <x:v>Comprobada</x:v>
      </x:c>
      <x:c r="E8" s="3" t="str">
        <x:v>Integrada</x:v>
      </x:c>
      <x:c r="F8" s="3" t="str">
        <x:v>Sin credenciales</x:v>
      </x:c>
      <x:c r="G8" s="3" t="str">
        <x:v>IDs únicos frente al total declarado. Conserva variantes y vendedores.</x:v>
      </x:c>
      <x:c r="H8" s="3" t="e">
        <x:f>HYPERLINK("https://www.pycca.com/api/catalog_system/pub/products/search?_from=0&amp;_to=49&amp;O=OrderByNameASC","https://www.pycca.com/api/catalog_system/pub/products/search?_from=0&amp;_to=49&amp;O=OrderByNameASC")</x:f>
        <x:v>HYPERLINK is not implemented. linkLocation=https://www.pycca.com/api/catalog_system/pub/products/search?_from=0&amp;_to=49&amp;O=OrderByNameASC, friendlyName=https://www.pycca.com/api/catalog_system/pub/products/search?_from=0&amp;_to=49&amp;O=OrderByNameASC</x:v>
      </x:c>
      <x:c r="I8" s="3" t="e">
        <x:f>HYPERLINK("https://www.pycca.com","https://www.pycca.com")</x:f>
        <x:v>HYPERLINK is not implemented. linkLocation=https://www.pycca.com, friendlyName=https://www.pycca.com</x:v>
      </x:c>
    </x:row>
    <x:row r="9" ht="92.4000015258789" hidden="0" customHeight="1">
      <x:c r="A9" s="3" t="str">
        <x:v>Almacenes Japón</x:v>
      </x:c>
      <x:c r="B9" s="3" t="str">
        <x:v>Electrodomésticos</x:v>
      </x:c>
      <x:c r="C9" s="3" t="str">
        <x:v>VTEX</x:v>
      </x:c>
      <x:c r="D9" s="3" t="str">
        <x:v>Comprobada</x:v>
      </x:c>
      <x:c r="E9" s="3" t="str">
        <x:v>Integrada</x:v>
      </x:c>
      <x:c r="F9" s="3" t="str">
        <x:v>Sin credenciales</x:v>
      </x:c>
      <x:c r="G9" s="3" t="str">
        <x:v>IDs únicos frente al total declarado. Conserva variantes y vendedores.</x:v>
      </x:c>
      <x:c r="H9" s="3" t="e">
        <x:f>HYPERLINK("https://www.almacenesjapon.com/api/catalog_system/pub/products/search?_from=0&amp;_to=49&amp;O=OrderByNameASC","https://www.almacenesjapon.com/api/catalog_system/pub/products/search?_from=0&amp;_to=49&amp;O=OrderByNameASC")</x:f>
        <x:v>HYPERLINK is not implemented. linkLocation=https://www.almacenesjapon.com/api/catalog_system/pub/products/search?_from=0&amp;_to=49&amp;O=OrderByNameASC, friendlyName=https://www.almacenesjapon.com/api/catalog_system/pub/products/search?_from=0&amp;_to=49&amp;O=OrderByNameASC</x:v>
      </x:c>
      <x:c r="I9" s="3" t="e">
        <x:f>HYPERLINK("https://www.almacenesjapon.com","https://www.almacenesjapon.com")</x:f>
        <x:v>HYPERLINK is not implemented. linkLocation=https://www.almacenesjapon.com, friendlyName=https://www.almacenesjapon.com</x:v>
      </x:c>
    </x:row>
    <x:row r="10" ht="66" hidden="0" customHeight="1">
      <x:c r="A10" s="3" t="str">
        <x:v>Colineal</x:v>
      </x:c>
      <x:c r="B10" s="3" t="str">
        <x:v>Muebles</x:v>
      </x:c>
      <x:c r="C10" s="3" t="str">
        <x:v>Shopify</x:v>
      </x:c>
      <x:c r="D10" s="3" t="str">
        <x:v>Comprobada</x:v>
      </x:c>
      <x:c r="E10" s="3" t="str">
        <x:v>Integrada</x:v>
      </x:c>
      <x:c r="F10" s="3" t="str">
        <x:v>Sin credenciales</x:v>
      </x:c>
      <x:c r="G10" s="3" t="str">
        <x:v>Listado público products.json. Moneda comprobada mediante cart.js. Conserva variantes.</x:v>
      </x:c>
      <x:c r="H10" s="3" t="e">
        <x:f>HYPERLINK("https://colineal.com/products.json?limit=250&amp;page=1","https://colineal.com/products.json?limit=250&amp;page=1")</x:f>
        <x:v>HYPERLINK is not implemented. linkLocation=https://colineal.com/products.json?limit=250&amp;page=1, friendlyName=https://colineal.com/products.json?limit=250&amp;page=1</x:v>
      </x:c>
      <x:c r="I10" s="3" t="e">
        <x:f>HYPERLINK("https://colineal.com","https://colineal.com")</x:f>
        <x:v>HYPERLINK is not implemented. linkLocation=https://colineal.com, friendlyName=https://colineal.com</x:v>
      </x:c>
    </x:row>
    <x:row r="11" ht="66" hidden="0" customHeight="1">
      <x:c r="A11" s="3" t="str">
        <x:v>EkuStore</x:v>
      </x:c>
      <x:c r="B11" s="3" t="str">
        <x:v>Tecnología</x:v>
      </x:c>
      <x:c r="C11" s="3" t="str">
        <x:v>Shopify</x:v>
      </x:c>
      <x:c r="D11" s="3" t="str">
        <x:v>Comprobada</x:v>
      </x:c>
      <x:c r="E11" s="3" t="str">
        <x:v>Integrada</x:v>
      </x:c>
      <x:c r="F11" s="3" t="str">
        <x:v>Sin credenciales</x:v>
      </x:c>
      <x:c r="G11" s="3" t="str">
        <x:v>Listado público products.json. Moneda comprobada mediante cart.js. Conserva variantes.</x:v>
      </x:c>
      <x:c r="H11" s="3" t="e">
        <x:f>HYPERLINK("https://ekustore.com/products.json?limit=250&amp;page=1","https://ekustore.com/products.json?limit=250&amp;page=1")</x:f>
        <x:v>HYPERLINK is not implemented. linkLocation=https://ekustore.com/products.json?limit=250&amp;page=1, friendlyName=https://ekustore.com/products.json?limit=250&amp;page=1</x:v>
      </x:c>
      <x:c r="I11" s="3" t="e">
        <x:f>HYPERLINK("https://ekustore.com","https://ekustore.com")</x:f>
        <x:v>HYPERLINK is not implemented. linkLocation=https://ekustore.com, friendlyName=https://ekustore.com</x:v>
      </x:c>
    </x:row>
    <x:row r="12" ht="92.4000015258789" hidden="0" customHeight="1">
      <x:c r="A12" s="3" t="str">
        <x:v>Kywi</x:v>
      </x:c>
      <x:c r="B12" s="3" t="str">
        <x:v>Ferretería</x:v>
      </x:c>
      <x:c r="C12" s="3" t="str">
        <x:v>VTEX</x:v>
      </x:c>
      <x:c r="D12" s="3" t="str">
        <x:v>Comprobada</x:v>
      </x:c>
      <x:c r="E12" s="3" t="str">
        <x:v>Integrada</x:v>
      </x:c>
      <x:c r="F12" s="3" t="str">
        <x:v>Sin credenciales</x:v>
      </x:c>
      <x:c r="G12" s="3" t="str">
        <x:v>IDs únicos frente al total declarado. Conserva variantes y vendedores.</x:v>
      </x:c>
      <x:c r="H12" s="3" t="e">
        <x:f>HYPERLINK("https://www.kywi.com.ec/api/catalog_system/pub/products/search?_from=0&amp;_to=49&amp;O=OrderByNameASC","https://www.kywi.com.ec/api/catalog_system/pub/products/search?_from=0&amp;_to=49&amp;O=OrderByNameASC")</x:f>
        <x:v>HYPERLINK is not implemented. linkLocation=https://www.kywi.com.ec/api/catalog_system/pub/products/search?_from=0&amp;_to=49&amp;O=OrderByNameASC, friendlyName=https://www.kywi.com.ec/api/catalog_system/pub/products/search?_from=0&amp;_to=49&amp;O=OrderByNameASC</x:v>
      </x:c>
      <x:c r="I12" s="3" t="e">
        <x:f>HYPERLINK("https://www.kywi.com.ec","https://www.kywi.com.ec")</x:f>
        <x:v>HYPERLINK is not implemented. linkLocation=https://www.kywi.com.ec, friendlyName=https://www.kywi.com.ec</x:v>
      </x:c>
    </x:row>
    <x:row r="13" ht="158.39999389648438" hidden="0" customHeight="1">
      <x:c r="A13" s="3" t="str">
        <x:v>La Ganga</x:v>
      </x:c>
      <x:c r="B13" s="3" t="str">
        <x:v>Electrodomésticos</x:v>
      </x:c>
      <x:c r="C13" s="3" t="str">
        <x:v>Magento GraphQL</x:v>
      </x:c>
      <x:c r="D13" s="3" t="str">
        <x:v>Comprobada</x:v>
      </x:c>
      <x:c r="E13" s="3" t="str">
        <x:v>Integrada</x:v>
      </x:c>
      <x:c r="F13" s="3" t="str">
        <x:v>Sin credenciales</x:v>
      </x:c>
      <x:c r="G13" s="3" t="str">
        <x:v>Consulta GraphQL de productos. Normaliza precio final, SKU y disponibilidad.</x:v>
      </x:c>
      <x:c r="H13" s="3" t="e">
        <x:f>HYPERLINK("https://laganga.com/graphql?query=%7Bproducts%28search%3A%22%22%2CpageSize%3A100%2CcurrentPage%3A1%2Csort%3A%7Bname%3AASC%7D%29%7Btotal_count+items%7Bsku+name+url_key+url_suffix+description%7Bhtml%7D+price_range%7Bminimum_price%7Bfinal_price%7Bvalue+currency%7D%7D%7D+image%7Burl%7D+stock_status+categories%7Bname%7D%7D%7D%7D","https://laganga.com/graphql (consulta de productos)")</x:f>
        <x:v>HYPERLINK is not implemented. linkLocation=https://laganga.com/graphql?query=%7Bproducts%28search%3A%22%22%2CpageSize%3A100%2CcurrentPage%3A1%2Csort%3A%7Bname%3AASC%7D%29%7Btotal_count+items%7Bsku+name+url_key+url_suffix+description%7Bhtml%7D+price_range%7Bminimum_price%7Bfinal_price%7Bvalue+currency%7D%7D%7D+image%7Burl%7D+stock_status+categories%7Bname%7D%7D%7D%7D, friendlyName=https://laganga.com/graphql (consulta de productos)</x:v>
      </x:c>
      <x:c r="I13" s="3" t="e">
        <x:f>HYPERLINK("https://laganga.com/","https://laganga.com/")</x:f>
        <x:v>HYPERLINK is not implemented. linkLocation=https://laganga.com/, friendlyName=https://laganga.com/</x:v>
      </x:c>
    </x:row>
    <x:row r="14" ht="66" hidden="0" customHeight="1">
      <x:c r="A14" s="3" t="str">
        <x:v>NewStore</x:v>
      </x:c>
      <x:c r="B14" s="3" t="str">
        <x:v>Tecnología</x:v>
      </x:c>
      <x:c r="C14" s="3" t="str">
        <x:v>Shopify</x:v>
      </x:c>
      <x:c r="D14" s="3" t="str">
        <x:v>Comprobada</x:v>
      </x:c>
      <x:c r="E14" s="3" t="str">
        <x:v>Integrada</x:v>
      </x:c>
      <x:c r="F14" s="3" t="str">
        <x:v>Sin credenciales</x:v>
      </x:c>
      <x:c r="G14" s="3" t="str">
        <x:v>Listado público products.json. Moneda comprobada mediante cart.js. Conserva variantes. Los precios cero se muestran como no informados.</x:v>
      </x:c>
      <x:c r="H14" s="3" t="e">
        <x:f>HYPERLINK("https://www.newstoregye.com/products.json?limit=250&amp;page=1","https://www.newstoregye.com/products.json?limit=250&amp;page=1")</x:f>
        <x:v>HYPERLINK is not implemented. linkLocation=https://www.newstoregye.com/products.json?limit=250&amp;page=1, friendlyName=https://www.newstoregye.com/products.json?limit=250&amp;page=1</x:v>
      </x:c>
      <x:c r="I14" s="3" t="e">
        <x:f>HYPERLINK("https://www.newstoregye.com","https://www.newstoregye.com")</x:f>
        <x:v>HYPERLINK is not implemented. linkLocation=https://www.newstoregye.com, friendlyName=https://www.newstoregye.com</x:v>
      </x:c>
    </x:row>
    <x:row r="15" ht="158.39999389648438" hidden="0" customHeight="1">
      <x:c r="A15" s="3" t="str">
        <x:v>Pintulac</x:v>
      </x:c>
      <x:c r="B15" s="3" t="str">
        <x:v>Ferretería</x:v>
      </x:c>
      <x:c r="C15" s="3" t="str">
        <x:v>Magento GraphQL</x:v>
      </x:c>
      <x:c r="D15" s="3" t="str">
        <x:v>Comprobada</x:v>
      </x:c>
      <x:c r="E15" s="3" t="str">
        <x:v>Integrada</x:v>
      </x:c>
      <x:c r="F15" s="3" t="str">
        <x:v>Sin credenciales</x:v>
      </x:c>
      <x:c r="G15" s="3" t="str">
        <x:v>Consulta GraphQL de productos. Normaliza precio final, SKU y disponibilidad.</x:v>
      </x:c>
      <x:c r="H15" s="3" t="e">
        <x:f>HYPERLINK("https://www.pintulac.com.ec/graphql?query=%7Bproducts%28search%3A%22%22%2CpageSize%3A100%2CcurrentPage%3A1%2Csort%3A%7Bname%3AASC%7D%29%7Btotal_count+items%7Bsku+name+url_key+url_suffix+description%7Bhtml%7D+price_range%7Bminimum_price%7Bfinal_price%7Bvalue+currency%7D%7D%7D+image%7Burl%7D+stock_status+categories%7Bname%7D%7D%7D%7D","https://www.pintulac.com.ec/graphql (consulta de productos)")</x:f>
        <x:v>HYPERLINK is not implemented. linkLocation=https://www.pintulac.com.ec/graphql?query=%7Bproducts%28search%3A%22%22%2CpageSize%3A100%2CcurrentPage%3A1%2Csort%3A%7Bname%3AASC%7D%29%7Btotal_count+items%7Bsku+name+url_key+url_suffix+description%7Bhtml%7D+price_range%7Bminimum_price%7Bfinal_price%7Bvalue+currency%7D%7D%7D+image%7Burl%7D+stock_status+categories%7Bname%7D%7D%7D%7D, friendlyName=https://www.pintulac.com.ec/graphql (consulta de productos)</x:v>
      </x:c>
      <x:c r="I15" s="3" t="e">
        <x:f>HYPERLINK("https://www.pintulac.com.ec","https://www.pintulac.com.ec")</x:f>
        <x:v>HYPERLINK is not implemented. linkLocation=https://www.pintulac.com.ec, friendlyName=https://www.pintulac.com.ec</x:v>
      </x:c>
    </x:row>
    <x:row r="16" ht="66" hidden="0" customHeight="1">
      <x:c r="A16" s="3" t="str">
        <x:v>Randall Tech</x:v>
      </x:c>
      <x:c r="B16" s="3" t="str">
        <x:v>Tecnología</x:v>
      </x:c>
      <x:c r="C16" s="3" t="str">
        <x:v>Shopify</x:v>
      </x:c>
      <x:c r="D16" s="3" t="str">
        <x:v>Comprobada</x:v>
      </x:c>
      <x:c r="E16" s="3" t="str">
        <x:v>Integrada</x:v>
      </x:c>
      <x:c r="F16" s="3" t="str">
        <x:v>Sin credenciales</x:v>
      </x:c>
      <x:c r="G16" s="3" t="str">
        <x:v>Listado público products.json. Moneda comprobada mediante cart.js. Conserva variantes.</x:v>
      </x:c>
      <x:c r="H16" s="3" t="e">
        <x:f>HYPERLINK("https://randall-tech.com/products.json?limit=250&amp;page=1","https://randall-tech.com/products.json?limit=250&amp;page=1")</x:f>
        <x:v>HYPERLINK is not implemented. linkLocation=https://randall-tech.com/products.json?limit=250&amp;page=1, friendlyName=https://randall-tech.com/products.json?limit=250&amp;page=1</x:v>
      </x:c>
      <x:c r="I16" s="3" t="e">
        <x:f>HYPERLINK("https://randall-tech.com","https://randall-tech.com")</x:f>
        <x:v>HYPERLINK is not implemented. linkLocation=https://randall-tech.com, friendlyName=https://randall-tech.com</x:v>
      </x:c>
    </x:row>
    <x:row r="17" ht="66" hidden="0" customHeight="1">
      <x:c r="A17" s="3" t="str">
        <x:v>Smart Home EC</x:v>
      </x:c>
      <x:c r="B17" s="3" t="str">
        <x:v>Tecnología</x:v>
      </x:c>
      <x:c r="C17" s="3" t="str">
        <x:v>Shopify</x:v>
      </x:c>
      <x:c r="D17" s="3" t="str">
        <x:v>Comprobada</x:v>
      </x:c>
      <x:c r="E17" s="3" t="str">
        <x:v>Integrada</x:v>
      </x:c>
      <x:c r="F17" s="3" t="str">
        <x:v>Sin credenciales</x:v>
      </x:c>
      <x:c r="G17" s="3" t="str">
        <x:v>Listado público products.json. Moneda comprobada mediante cart.js. Conserva variantes.</x:v>
      </x:c>
      <x:c r="H17" s="3" t="e">
        <x:f>HYPERLINK("https://smarthomeecstore.com/products.json?limit=250&amp;page=1","https://smarthomeecstore.com/products.json?limit=250&amp;page=1")</x:f>
        <x:v>HYPERLINK is not implemented. linkLocation=https://smarthomeecstore.com/products.json?limit=250&amp;page=1, friendlyName=https://smarthomeecstore.com/products.json?limit=250&amp;page=1</x:v>
      </x:c>
      <x:c r="I17" s="3" t="e">
        <x:f>HYPERLINK("https://smarthomeecstore.com","https://smarthomeecstore.com")</x:f>
        <x:v>HYPERLINK is not implemented. linkLocation=https://smarthomeecstore.com, friendlyName=https://smarthomeecstore.com</x:v>
      </x:c>
    </x:row>
    <x:row r="18" ht="158.39999389648438" hidden="0" customHeight="1">
      <x:c r="A18" s="3" t="str">
        <x:v>Steren Ecuador</x:v>
      </x:c>
      <x:c r="B18" s="3" t="str">
        <x:v>Electrónica</x:v>
      </x:c>
      <x:c r="C18" s="3" t="str">
        <x:v>Magento GraphQL</x:v>
      </x:c>
      <x:c r="D18" s="3" t="str">
        <x:v>Comprobada</x:v>
      </x:c>
      <x:c r="E18" s="3" t="str">
        <x:v>Integrada</x:v>
      </x:c>
      <x:c r="F18" s="3" t="str">
        <x:v>Sin credenciales</x:v>
      </x:c>
      <x:c r="G18" s="3" t="str">
        <x:v>Consulta GraphQL de productos. Normaliza precio final, SKU y disponibilidad.</x:v>
      </x:c>
      <x:c r="H18" s="3" t="e">
        <x:f>HYPERLINK("https://www.steren.com.ec/graphql?query=%7Bproducts%28search%3A%22%22%2CpageSize%3A100%2CcurrentPage%3A1%2Csort%3A%7Bname%3AASC%7D%29%7Btotal_count+items%7Bsku+name+url_key+url_suffix+description%7Bhtml%7D+price_range%7Bminimum_price%7Bfinal_price%7Bvalue+currency%7D%7D%7D+image%7Burl%7D+stock_status+categories%7Bname%7D%7D%7D%7D","https://www.steren.com.ec/graphql (consulta de productos)")</x:f>
        <x:v>HYPERLINK is not implemented. linkLocation=https://www.steren.com.ec/graphql?query=%7Bproducts%28search%3A%22%22%2CpageSize%3A100%2CcurrentPage%3A1%2Csort%3A%7Bname%3AASC%7D%29%7Btotal_count+items%7Bsku+name+url_key+url_suffix+description%7Bhtml%7D+price_range%7Bminimum_price%7Bfinal_price%7Bvalue+currency%7D%7D%7D+image%7Burl%7D+stock_status+categories%7Bname%7D%7D%7D%7D, friendlyName=https://www.steren.com.ec/graphql (consulta de productos)</x:v>
      </x:c>
      <x:c r="I18" s="3" t="e">
        <x:f>HYPERLINK("https://www.steren.com.ec","https://www.steren.com.ec")</x:f>
        <x:v>HYPERLINK is not implemented. linkLocation=https://www.steren.com.ec, friendlyName=https://www.steren.com.ec</x:v>
      </x:c>
    </x:row>
    <x:row r="19" ht="39.599998474121094" hidden="0" customHeight="1">
      <x:c r="A19" s="3" t="str">
        <x:v>Artefacta</x:v>
      </x:c>
      <x:c r="B19" s="3" t="str">
        <x:v>Electrodomésticos</x:v>
      </x:c>
      <x:c r="C19" s="3" t="str">
        <x:v>No confirmada</x:v>
      </x:c>
      <x:c r="D19" s="3" t="str">
        <x:v>Sin confirmar</x:v>
      </x:c>
      <x:c r="E19" s="3" t="str">
        <x:v>No integrada</x:v>
      </x:c>
      <x:c r="F19" s="3" t="str">
        <x:v>No determinada</x:v>
      </x:c>
      <x:c r="G19" s="3" t="str">
        <x:v>Revisión del 22/09/2026: Sitio Magento identificado. Consulta GraphQL recibió HTTP 403.</x:v>
      </x:c>
      <x:c r="H19" s="3" t="str">
        <x:v>No confirmada</x:v>
      </x:c>
      <x:c r="I19" s="3" t="e">
        <x:f>HYPERLINK("https://www.artefacta.com","https://www.artefacta.com")</x:f>
        <x:v>HYPERLINK is not implemented. linkLocation=https://www.artefacta.com, friendlyName=https://www.artefacta.com</x:v>
      </x:c>
    </x:row>
    <x:row r="20" ht="39.599998474121094" hidden="0" customHeight="1">
      <x:c r="A20" s="3" t="str">
        <x:v>Boyacá</x:v>
      </x:c>
      <x:c r="B20" s="3" t="str">
        <x:v>Hogar</x:v>
      </x:c>
      <x:c r="C20" s="3" t="str">
        <x:v>No confirmada</x:v>
      </x:c>
      <x:c r="D20" s="3" t="str">
        <x:v>Sin confirmar</x:v>
      </x:c>
      <x:c r="E20" s="3" t="str">
        <x:v>No integrada</x:v>
      </x:c>
      <x:c r="F20" s="3" t="str">
        <x:v>No determinada</x:v>
      </x:c>
      <x:c r="G20" s="3" t="str">
        <x:v>Revisión del 22/09/2026: Ruta WooCommerce devuelve 404. API de catálogo no confirmada.</x:v>
      </x:c>
      <x:c r="H20" s="3" t="str">
        <x:v>No confirmada</x:v>
      </x:c>
      <x:c r="I20" s="3" t="e">
        <x:f>HYPERLINK("https://www.boyaca.com","https://www.boyaca.com")</x:f>
        <x:v>HYPERLINK is not implemented. linkLocation=https://www.boyaca.com, friendlyName=https://www.boyaca.com</x:v>
      </x:c>
    </x:row>
    <x:row r="21" ht="66" hidden="0" customHeight="1">
      <x:c r="A21" s="3" t="str">
        <x:v>Coral</x:v>
      </x:c>
      <x:c r="B21" s="3" t="str">
        <x:v>General</x:v>
      </x:c>
      <x:c r="C21" s="3" t="str">
        <x:v>No confirmada</x:v>
      </x:c>
      <x:c r="D21" s="3" t="str">
        <x:v>Sin confirmar</x:v>
      </x:c>
      <x:c r="E21" s="3" t="str">
        <x:v>No integrada</x:v>
      </x:c>
      <x:c r="F21" s="3" t="str">
        <x:v>No determinada</x:v>
      </x:c>
      <x:c r="G21" s="3" t="str">
        <x:v>Revisión del 22/09/2026: Sitio Magento identificado. /graphql respondió HTML, no productos JSON.</x:v>
      </x:c>
      <x:c r="H21" s="3" t="str">
        <x:v>No confirmada</x:v>
      </x:c>
      <x:c r="I21" s="3" t="e">
        <x:f>HYPERLINK("https://coralhipermercados.com/","https://coralhipermercados.com/")</x:f>
        <x:v>HYPERLINK is not implemented. linkLocation=https://coralhipermercados.com/, friendlyName=https://coralhipermercados.com/</x:v>
      </x:c>
    </x:row>
    <x:row r="22" ht="39.599998474121094" hidden="0" customHeight="1">
      <x:c r="A22" s="3" t="str">
        <x:v>De Prati</x:v>
      </x:c>
      <x:c r="B22" s="3" t="str">
        <x:v>Moda y hogar</x:v>
      </x:c>
      <x:c r="C22" s="3" t="str">
        <x:v>No confirmada</x:v>
      </x:c>
      <x:c r="D22" s="3" t="str">
        <x:v>Sin confirmar</x:v>
      </x:c>
      <x:c r="E22" s="3" t="str">
        <x:v>No integrada</x:v>
      </x:c>
      <x:c r="F22" s="3" t="str">
        <x:v>No determinada</x:v>
      </x:c>
      <x:c r="G22" s="3" t="str">
        <x:v>Revisión del 22/09/2026: La página respondió HTTP 403. API de catálogo pendiente de investigación.</x:v>
      </x:c>
      <x:c r="H22" s="3" t="str">
        <x:v>No confirmada</x:v>
      </x:c>
      <x:c r="I22" s="3" t="e">
        <x:f>HYPERLINK("https://www.deprati.com.ec","https://www.deprati.com.ec")</x:f>
        <x:v>HYPERLINK is not implemented. linkLocation=https://www.deprati.com.ec, friendlyName=https://www.deprati.com.ec</x:v>
      </x:c>
    </x:row>
    <x:row r="23" ht="39.599998474121094" hidden="0" customHeight="1">
      <x:c r="A23" s="3" t="str">
        <x:v>El Bárbaro</x:v>
      </x:c>
      <x:c r="B23" s="3" t="str">
        <x:v>General</x:v>
      </x:c>
      <x:c r="C23" s="3" t="str">
        <x:v>No confirmada</x:v>
      </x:c>
      <x:c r="D23" s="3" t="str">
        <x:v>Sin confirmar</x:v>
      </x:c>
      <x:c r="E23" s="3" t="str">
        <x:v>No integrada</x:v>
      </x:c>
      <x:c r="F23" s="3" t="str">
        <x:v>No determinada</x:v>
      </x:c>
      <x:c r="G23" s="3" t="str">
        <x:v>Revisión del 22/09/2026: La página respondió HTTP 403. API de catálogo pendiente de investigación.</x:v>
      </x:c>
      <x:c r="H23" s="3" t="str">
        <x:v>No confirmada</x:v>
      </x:c>
      <x:c r="I23" s="3" t="e">
        <x:f>HYPERLINK("https://elbarbaro.ec","https://elbarbaro.ec")</x:f>
        <x:v>HYPERLINK is not implemented. linkLocation=https://elbarbaro.ec, friendlyName=https://elbarbaro.ec</x:v>
      </x:c>
    </x:row>
    <x:row r="24" ht="39.599998474121094" hidden="0" customHeight="1">
      <x:c r="A24" s="3" t="str">
        <x:v>Fybeca</x:v>
      </x:c>
      <x:c r="B24" s="3" t="str">
        <x:v>Farmacia</x:v>
      </x:c>
      <x:c r="C24" s="3" t="str">
        <x:v>No confirmada</x:v>
      </x:c>
      <x:c r="D24" s="3" t="str">
        <x:v>Sin confirmar</x:v>
      </x:c>
      <x:c r="E24" s="3" t="str">
        <x:v>No integrada</x:v>
      </x:c>
      <x:c r="F24" s="3" t="str">
        <x:v>No determinada</x:v>
      </x:c>
      <x:c r="G24" s="3" t="str">
        <x:v>Revisión del 22/09/2026: Sitio con señales de Salesforce Commerce Cloud. Ruta WooCommerce devuelve 404.</x:v>
      </x:c>
      <x:c r="H24" s="3" t="str">
        <x:v>No confirmada</x:v>
      </x:c>
      <x:c r="I24" s="3" t="e">
        <x:f>HYPERLINK("https://www.fybeca.com","https://www.fybeca.com")</x:f>
        <x:v>HYPERLINK is not implemented. linkLocation=https://www.fybeca.com, friendlyName=https://www.fybeca.com</x:v>
      </x:c>
    </x:row>
    <x:row r="25" ht="39.599998474121094" hidden="0" customHeight="1">
      <x:c r="A25" s="3" t="str">
        <x:v>Mi Comisariato</x:v>
      </x:c>
      <x:c r="B25" s="3" t="str">
        <x:v>Supermercado</x:v>
      </x:c>
      <x:c r="C25" s="3" t="str">
        <x:v>No confirmada</x:v>
      </x:c>
      <x:c r="D25" s="3" t="str">
        <x:v>Sin confirmar</x:v>
      </x:c>
      <x:c r="E25" s="3" t="str">
        <x:v>No integrada</x:v>
      </x:c>
      <x:c r="F25" s="3" t="str">
        <x:v>No determinada</x:v>
      </x:c>
      <x:c r="G25" s="3" t="str">
        <x:v>Revisión del 22/09/2026: Ruta WooCommerce respondió 403. No se confirmó un contrato de productos.</x:v>
      </x:c>
      <x:c r="H25" s="3" t="str">
        <x:v>No confirmada</x:v>
      </x:c>
      <x:c r="I25" s="3" t="e">
        <x:f>HYPERLINK("https://micomisariato.com/","https://micomisariato.com/")</x:f>
        <x:v>HYPERLINK is not implemented. linkLocation=https://micomisariato.com/, friendlyName=https://micomisariato.com/</x:v>
      </x:c>
    </x:row>
    <x:row r="26" ht="39.599998474121094" hidden="0" customHeight="1">
      <x:c r="A26" s="3" t="str">
        <x:v>Paco</x:v>
      </x:c>
      <x:c r="B26" s="3" t="str">
        <x:v>Papelería</x:v>
      </x:c>
      <x:c r="C26" s="3" t="str">
        <x:v>No confirmada</x:v>
      </x:c>
      <x:c r="D26" s="3" t="str">
        <x:v>Sin confirmar</x:v>
      </x:c>
      <x:c r="E26" s="3" t="str">
        <x:v>No integrada</x:v>
      </x:c>
      <x:c r="F26" s="3" t="str">
        <x:v>No determinada</x:v>
      </x:c>
      <x:c r="G26" s="3" t="str">
        <x:v>Revisión del 22/09/2026: No se obtuvo respuesta del dominio consultado. Verificar dominio y acceso.</x:v>
      </x:c>
      <x:c r="H26" s="3" t="str">
        <x:v>No confirmada</x:v>
      </x:c>
      <x:c r="I26" s="3" t="e">
        <x:f>HYPERLINK("https://www.paco.com.ec","https://www.paco.com.ec")</x:f>
        <x:v>HYPERLINK is not implemented. linkLocation=https://www.paco.com.ec, friendlyName=https://www.paco.com.ec</x:v>
      </x:c>
    </x:row>
    <x:row r="27" ht="39.599998474121094" hidden="0" customHeight="1">
      <x:c r="A27" s="3" t="str">
        <x:v>Sukasa</x:v>
      </x:c>
      <x:c r="B27" s="3" t="str">
        <x:v>Hogar</x:v>
      </x:c>
      <x:c r="C27" s="3" t="str">
        <x:v>No confirmada</x:v>
      </x:c>
      <x:c r="D27" s="3" t="str">
        <x:v>Sin confirmar</x:v>
      </x:c>
      <x:c r="E27" s="3" t="str">
        <x:v>No integrada</x:v>
      </x:c>
      <x:c r="F27" s="3" t="str">
        <x:v>No determinada</x:v>
      </x:c>
      <x:c r="G27" s="3" t="str">
        <x:v>Revisión del 22/09/2026: Página accesible. No se identificó un endpoint de productos en esta revisión.</x:v>
      </x:c>
      <x:c r="H27" s="3" t="str">
        <x:v>No confirmada</x:v>
      </x:c>
      <x:c r="I27" s="3" t="e">
        <x:f>HYPERLINK("https://www.sukasa.com","https://www.sukasa.com")</x:f>
        <x:v>HYPERLINK is not implemented. linkLocation=https://www.sukasa.com, friendlyName=https://www.sukasa.com</x:v>
      </x:c>
    </x:row>
    <x:row r="28" ht="39.599998474121094" hidden="0" customHeight="1">
      <x:c r="A28" s="3" t="str">
        <x:v>Supermaxi</x:v>
      </x:c>
      <x:c r="B28" s="3" t="str">
        <x:v>Supermercado</x:v>
      </x:c>
      <x:c r="C28" s="3" t="str">
        <x:v>No confirmada</x:v>
      </x:c>
      <x:c r="D28" s="3" t="str">
        <x:v>Sin confirmar</x:v>
      </x:c>
      <x:c r="E28" s="3" t="str">
        <x:v>No integrada</x:v>
      </x:c>
      <x:c r="F28" s="3" t="str">
        <x:v>No determinada</x:v>
      </x:c>
      <x:c r="G28" s="3" t="str">
        <x:v>Revisión del 22/09/2026: Ruta WooCommerce devuelve 404. WordPress en el sitio no prueba API de catálogo.</x:v>
      </x:c>
      <x:c r="H28" s="3" t="str">
        <x:v>No confirmada</x:v>
      </x:c>
      <x:c r="I28" s="3" t="e">
        <x:f>HYPERLINK("https://www.supermaxi.com","https://www.supermaxi.com")</x:f>
        <x:v>HYPERLINK is not implemented. linkLocation=https://www.supermaxi.com, friendlyName=https://www.supermaxi.com</x:v>
      </x:c>
    </x:row>
    <x:row r="29" ht="39.599998474121094" hidden="0" customHeight="1">
      <x:c r="A29" s="3" t="str">
        <x:v>TIA</x:v>
      </x:c>
      <x:c r="B29" s="3" t="str">
        <x:v>Supermercado</x:v>
      </x:c>
      <x:c r="C29" s="3" t="str">
        <x:v>No confirmada</x:v>
      </x:c>
      <x:c r="D29" s="3" t="str">
        <x:v>Sin confirmar</x:v>
      </x:c>
      <x:c r="E29" s="3" t="str">
        <x:v>No integrada</x:v>
      </x:c>
      <x:c r="F29" s="3" t="str">
        <x:v>No determinada</x:v>
      </x:c>
      <x:c r="G29" s="3" t="str">
        <x:v>Revisión del 22/09/2026: Sitio Magento identificado. GraphQL recibió HTTP 403; ruta VTEX no dio productos.</x:v>
      </x:c>
      <x:c r="H29" s="3" t="str">
        <x:v>No confirmada</x:v>
      </x:c>
      <x:c r="I29" s="3" t="e">
        <x:f>HYPERLINK("https://www.tia.com.ec","https://www.tia.com.ec")</x:f>
        <x:v>HYPERLINK is not implemented. linkLocation=https://www.tia.com.ec, friendlyName=https://www.tia.com.ec</x:v>
      </x:c>
    </x:row>
    <x:row r="30" ht="39.599998474121094" hidden="0" customHeight="1">
      <x:c r="A30" s="3" t="str">
        <x:v>Tventas</x:v>
      </x:c>
      <x:c r="B30" s="3" t="str">
        <x:v>Hogar</x:v>
      </x:c>
      <x:c r="C30" s="3" t="str">
        <x:v>No confirmada</x:v>
      </x:c>
      <x:c r="D30" s="3" t="str">
        <x:v>Sin confirmar</x:v>
      </x:c>
      <x:c r="E30" s="3" t="str">
        <x:v>No integrada</x:v>
      </x:c>
      <x:c r="F30" s="3" t="str">
        <x:v>No determinada</x:v>
      </x:c>
      <x:c r="G30" s="3" t="str">
        <x:v>Revisión del 22/09/2026: Página devolvió contenido mínimo. API de catálogo no confirmada.</x:v>
      </x:c>
      <x:c r="H30" s="3" t="str">
        <x:v>No confirmada</x:v>
      </x:c>
      <x:c r="I30" s="3" t="e">
        <x:f>HYPERLINK("https://www.tventas.com","https://www.tventas.com")</x:f>
        <x:v>HYPERLINK is not implemented. linkLocation=https://www.tventas.com, friendlyName=https://www.tventas.com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18.75" hidden="0" customWidth="1"/>
    <x:col min="3" max="3" width="20" hidden="0" customWidth="1"/>
    <x:col min="4" max="4" width="46.25" hidden="0" customWidth="1"/>
    <x:col min="5" max="5" width="33.75" hidden="0" customWidth="1"/>
    <x:col min="6" max="6" width="52.5" hidden="0" customWidth="1"/>
    <x:col min="7" max="7" width="47.5" hidden="0" customWidth="1"/>
    <x:col min="8" max="8" width="41.25" hidden="0" customWidth="1"/>
    <x:col min="9" max="9" width="58.75" hidden="0" customWidth="1"/>
    <x:col min="10" max="10" width="42.5" hidden="0" customWidth="1"/>
    <x:col min="11" max="11" width="42.5" hidden="0" customWidth="1"/>
    <x:col min="12" max="12" width="41.25" hidden="0" customWidth="1"/>
  </x:cols>
  <x:sheetData>
    <x:row r="1" ht="36" hidden="0" customHeight="1">
      <x:c r="A1" s="3" t="str">
        <x:v>Tienda</x:v>
      </x:c>
      <x:c r="B1" s="3" t="str">
        <x:v>HTTP observado (22/09/2026)</x:v>
      </x:c>
      <x:c r="C1" s="3" t="str">
        <x:v>Total declarado (22/09/2026)</x:v>
      </x:c>
      <x:c r="D1" s="3" t="str">
        <x:v>Recorrido implementado</x:v>
      </x:c>
      <x:c r="E1" s="3" t="str">
        <x:v>Parámetros de recorrido</x:v>
      </x:c>
      <x:c r="F1" s="3" t="str">
        <x:v>Campos observados</x:v>
      </x:c>
      <x:c r="G1" s="3" t="str">
        <x:v>Tratamiento en Miau</x:v>
      </x:c>
      <x:c r="H1" s="3" t="str">
        <x:v>Producto de muestra (22/09/2026)</x:v>
      </x:c>
      <x:c r="I1" s="3" t="str">
        <x:v>Consulta / contrato</x:v>
      </x:c>
      <x:c r="J1" s="3" t="str">
        <x:v>API utilizada en Miau</x:v>
      </x:c>
      <x:c r="K1" s="3" t="str">
        <x:v>Consulta de muestra (22/09/2026)</x:v>
      </x:c>
      <x:c r="L1" s="3" t="str">
        <x:v>Documentación de plataforma</x:v>
      </x:c>
    </x:row>
    <x:row r="2" ht="66" hidden="0" customHeight="1">
      <x:c r="A2" s="3" t="str">
        <x:v>Frecuento</x:v>
      </x:c>
      <x:c r="B2" s="3" t="n">
        <x:v>200</x:v>
      </x:c>
      <x:c r="C2" s="3" t="n">
        <x:v>36395</x:v>
      </x:c>
      <x:c r="D2" s="3" t="str">
        <x:v>Páginas de 500 productos según count y pages.</x:v>
      </x:c>
      <x:c r="E2" s="3" t="str">
        <x:v>page / limit; results, count, pages</x:v>
      </x:c>
      <x:c r="F2" s="3" t="str">
        <x:v>id, name, code, brand, amount_total, categories, photos, has_stock</x:v>
      </x:c>
      <x:c r="G2" s="3" t="str">
        <x:v>Normalización de precios y variantes. Búsqueda sobre MongoDB.</x:v>
      </x:c>
      <x:c r="H2" s="3" t="str">
        <x:v>Secadora a Gas Whirlpool Carga Frontal Blanca 19KG | 7MWGD1900EW</x:v>
      </x:c>
      <x:c r="I2" s="3" t="str">
        <x:v>GET https://app.frecuento.com/products/?limit=500&amp;page=1</x:v>
      </x:c>
      <x:c r="J2" s="3" t="e">
        <x:f>HYPERLINK("https://app.frecuento.com/products/?limit=500&amp;page=1","https://app.frecuento.com/products/?limit=500&amp;page=1")</x:f>
        <x:v>HYPERLINK is not implemented. linkLocation=https://app.frecuento.com/products/?limit=500&amp;page=1, friendlyName=https://app.frecuento.com/products/?limit=500&amp;page=1</x:v>
      </x:c>
      <x:c r="K2" s="3" t="e">
        <x:f>HYPERLINK("https://app.frecuento.com/products/?limit=2&amp;page=1","https://app.frecuento.com/products/?limit=2&amp;page=1")</x:f>
        <x:v>HYPERLINK is not implemented. linkLocation=https://app.frecuento.com/products/?limit=2&amp;page=1, friendlyName=https://app.frecuento.com/products/?limit=2&amp;page=1</x:v>
      </x:c>
      <x:c r="L2" s="3" t="e">
        <x:f>HYPERLINK("https://app.frecuento.com/products/?limit=2&amp;page=1","https://app.frecuento.com/products/?limit=2&amp;page=1")</x:f>
        <x:v>HYPERLINK is not implemented. linkLocation=https://app.frecuento.com/products/?limit=2&amp;page=1, friendlyName=https://app.frecuento.com/products/?limit=2&amp;page=1</x:v>
      </x:c>
    </x:row>
    <x:row r="3" ht="92.4000015258789" hidden="0" customHeight="1">
      <x:c r="A3" s="3" t="str">
        <x:v>Comandato</x:v>
      </x:c>
      <x:c r="B3" s="3" t="n">
        <x:v>206</x:v>
      </x:c>
      <x:c r="C3" s="3" t="n">
        <x:v>316</x:v>
      </x:c>
      <x:c r="D3" s="3" t="str">
        <x:v>Bloques de 50 y partición por categorías. Recuperación de HTTP 500 en bloques de 10 o 1.</x:v>
      </x:c>
      <x:c r="E3" s="3" t="str">
        <x:v>_from / _to; filtros por categoría</x:v>
      </x:c>
      <x:c r="F3" s="3" t="str">
        <x:v>productId, productName, brand, categories, items, images, sellers, commertialOffer</x:v>
      </x:c>
      <x:c r="G3" s="3" t="str">
        <x:v>IDs únicos frente al total declarado. Conserva variantes y vendedores.</x:v>
      </x:c>
      <x:c r="H3" s="3" t="str">
        <x:v>12000 BTU Aire Acondicionado Alta Eficiencia MMT12CDBWCC32DE1 Mabe</x:v>
      </x:c>
      <x:c r="I3" s="3" t="str">
        <x:v>GET https://www.comandato.com/api/catalog_system/pub/products/search?_from=0&amp;_to=49&amp;O=OrderByNameASC</x:v>
      </x:c>
      <x:c r="J3" s="3" t="e">
        <x:f>HYPERLINK("https://www.comandato.com/api/catalog_system/pub/products/search?_from=0&amp;_to=49&amp;O=OrderByNameASC","https://www.comandato.com/api/catalog_system/pub/products/search?_from=0&amp;_to=49&amp;O=OrderByNameASC")</x:f>
        <x:v>HYPERLINK is not implemented. linkLocation=https://www.comandato.com/api/catalog_system/pub/products/search?_from=0&amp;_to=49&amp;O=OrderByNameASC, friendlyName=https://www.comandato.com/api/catalog_system/pub/products/search?_from=0&amp;_to=49&amp;O=OrderByNameASC</x:v>
      </x:c>
      <x:c r="K3" s="3" t="e">
        <x:f>HYPERLINK("https://www.comandato.com/api/catalog_system/pub/products/search?_from=0&amp;_to=1","https://www.comandato.com/api/catalog_system/pub/products/search?_from=0&amp;_to=1")</x:f>
        <x:v>HYPERLINK is not implemented. linkLocation=https://www.comandato.com/api/catalog_system/pub/products/search?_from=0&amp;_to=1, friendlyName=https://www.comandato.com/api/catalog_system/pub/products/search?_from=0&amp;_to=1</x:v>
      </x:c>
      <x:c r="L3" s="3" t="e">
        <x:f>HYPERLINK("https://developers.vtex.com/docs/api-reference/search-api","https://developers.vtex.com/docs/api-reference/search-api")</x:f>
        <x:v>HYPERLINK is not implemented. linkLocation=https://developers.vtex.com/docs/api-reference/search-api, friendlyName=https://developers.vtex.com/docs/api-reference/search-api</x:v>
      </x:c>
    </x:row>
    <x:row r="4" ht="92.4000015258789" hidden="0" customHeight="1">
      <x:c r="A4" s="3" t="str">
        <x:v>Computron</x:v>
      </x:c>
      <x:c r="B4" s="3" t="n">
        <x:v>200</x:v>
      </x:c>
      <x:c r="C4" s="3" t="n">
        <x:v>1344</x:v>
      </x:c>
      <x:c r="D4" s="3" t="str">
        <x:v>Páginas de 100 productos. Total según X-WP-Total.</x:v>
      </x:c>
      <x:c r="E4" s="3" t="str">
        <x:v>page / per_page; X-WP-TotalPages</x:v>
      </x:c>
      <x:c r="F4" s="3" t="str">
        <x:v>id, name, sku, prices, categories, images, is_in_stock, permalink</x:v>
      </x:c>
      <x:c r="G4" s="3" t="str">
        <x:v>Convierte prices.price según currency_minor_unit. Moneda USD.</x:v>
      </x:c>
      <x:c r="H4" s="3" t="str">
        <x:v>MONITOR XTRATECH 15.6&amp;#8243; PORTATIL 1920X1080 &amp;#8211; 1× MINI HDMI + 2× TYPE-C &amp;#8211; 60HZ</x:v>
      </x:c>
      <x:c r="I4" s="3" t="str">
        <x:v>GET https://www.computron.com.ec/wp-json/wc/store/v1/products?per_page=100&amp;page=1&amp;orderby=id&amp;order=asc</x:v>
      </x:c>
      <x:c r="J4" s="3" t="e">
        <x:f>HYPERLINK("https://www.computron.com.ec/wp-json/wc/store/v1/products?per_page=100&amp;page=1&amp;orderby=id&amp;order=asc","https://www.computron.com.ec/wp-json/wc/store/v1/products?per_page=100&amp;page=1&amp;orderby=id&amp;order=asc")</x:f>
        <x:v>HYPERLINK is not implemented. linkLocation=https://www.computron.com.ec/wp-json/wc/store/v1/products?per_page=100&amp;page=1&amp;orderby=id&amp;order=asc, friendlyName=https://www.computron.com.ec/wp-json/wc/store/v1/products?per_page=100&amp;page=1&amp;orderby=id&amp;order=asc</x:v>
      </x:c>
      <x:c r="K4" s="3" t="e">
        <x:f>HYPERLINK("https://www.computron.com.ec/wp-json/wc/store/v1/products?per_page=2","https://www.computron.com.ec/wp-json/wc/store/v1/products?per_page=2")</x:f>
        <x:v>HYPERLINK is not implemented. linkLocation=https://www.computron.com.ec/wp-json/wc/store/v1/products?per_page=2, friendlyName=https://www.computron.com.ec/wp-json/wc/store/v1/products?per_page=2</x:v>
      </x:c>
      <x:c r="L4" s="3" t="e">
        <x:f>HYPERLINK("https://developer.woocommerce.com/docs/apis/store-api/resources-endpoints/products/","https://developer.woocommerce.com/docs/apis/store-api/resources-endpoints/products/")</x:f>
        <x:v>HYPERLINK is not implemented. linkLocation=https://developer.woocommerce.com/docs/apis/store-api/resources-endpoints/products/, friendlyName=https://developer.woocommerce.com/docs/apis/store-api/resources-endpoints/products/</x:v>
      </x:c>
    </x:row>
    <x:row r="5" ht="92.4000015258789" hidden="0" customHeight="1">
      <x:c r="A5" s="3" t="str">
        <x:v>Créditos Económicos</x:v>
      </x:c>
      <x:c r="B5" s="3" t="n">
        <x:v>206</x:v>
      </x:c>
      <x:c r="C5" s="3" t="n">
        <x:v>7732</x:v>
      </x:c>
      <x:c r="D5" s="3" t="str">
        <x:v>Bloques de 50 y partición por categorías. Recuperación de HTTP 500 en bloques de 10 o 1.</x:v>
      </x:c>
      <x:c r="E5" s="3" t="str">
        <x:v>_from / _to; filtros por categoría</x:v>
      </x:c>
      <x:c r="F5" s="3" t="str">
        <x:v>productId, productName, brand, categories, items, images, sellers, commertialOffer</x:v>
      </x:c>
      <x:c r="G5" s="3" t="str">
        <x:v>IDs únicos frente al total declarado. Conserva variantes y vendedores.</x:v>
      </x:c>
      <x:c r="H5" s="3" t="str">
        <x:v>Celular Apple Iphone 17 Pro Max | 256 GB Memoria Interna Color Silver</x:v>
      </x:c>
      <x:c r="I5" s="3" t="str">
        <x:v>GET https://www.crecos.com/api/catalog_system/pub/products/search?_from=0&amp;_to=49&amp;O=OrderByNameASC</x:v>
      </x:c>
      <x:c r="J5" s="3" t="e">
        <x:f>HYPERLINK("https://www.crecos.com/api/catalog_system/pub/products/search?_from=0&amp;_to=49&amp;O=OrderByNameASC","https://www.crecos.com/api/catalog_system/pub/products/search?_from=0&amp;_to=49&amp;O=OrderByNameASC")</x:f>
        <x:v>HYPERLINK is not implemented. linkLocation=https://www.crecos.com/api/catalog_system/pub/products/search?_from=0&amp;_to=49&amp;O=OrderByNameASC, friendlyName=https://www.crecos.com/api/catalog_system/pub/products/search?_from=0&amp;_to=49&amp;O=OrderByNameASC</x:v>
      </x:c>
      <x:c r="K5" s="3" t="e">
        <x:f>HYPERLINK("https://www.crecos.com/api/catalog_system/pub/products/search?_from=0&amp;_to=1","https://www.crecos.com/api/catalog_system/pub/products/search?_from=0&amp;_to=1")</x:f>
        <x:v>HYPERLINK is not implemented. linkLocation=https://www.crecos.com/api/catalog_system/pub/products/search?_from=0&amp;_to=1, friendlyName=https://www.crecos.com/api/catalog_system/pub/products/search?_from=0&amp;_to=1</x:v>
      </x:c>
      <x:c r="L5" s="3" t="e">
        <x:f>HYPERLINK("https://developers.vtex.com/docs/api-reference/search-api","https://developers.vtex.com/docs/api-reference/search-api")</x:f>
        <x:v>HYPERLINK is not implemented. linkLocation=https://developers.vtex.com/docs/api-reference/search-api, friendlyName=https://developers.vtex.com/docs/api-reference/search-api</x:v>
      </x:c>
    </x:row>
    <x:row r="6" ht="92.4000015258789" hidden="0" customHeight="1">
      <x:c r="A6" s="3" t="str">
        <x:v>Marcimex</x:v>
      </x:c>
      <x:c r="B6" s="3" t="n">
        <x:v>206</x:v>
      </x:c>
      <x:c r="C6" s="3" t="n">
        <x:v>3782</x:v>
      </x:c>
      <x:c r="D6" s="3" t="str">
        <x:v>Bloques de 50 y partición por categorías. Recuperación de HTTP 500 en bloques de 10 o 1.</x:v>
      </x:c>
      <x:c r="E6" s="3" t="str">
        <x:v>_from / _to; filtros por categoría</x:v>
      </x:c>
      <x:c r="F6" s="3" t="str">
        <x:v>productId, productName, brand, categories, items, images, sellers, commertialOffer</x:v>
      </x:c>
      <x:c r="G6" s="3" t="str">
        <x:v>IDs únicos frente al total declarado. Conserva variantes y vendedores.</x:v>
      </x:c>
      <x:c r="H6" s="3" t="str">
        <x:v>Lg - Lavadora Automatica WT19WVTM Blanco | 19 kg</x:v>
      </x:c>
      <x:c r="I6" s="3" t="str">
        <x:v>GET https://www.marcimex.com/api/catalog_system/pub/products/search?_from=0&amp;_to=49&amp;O=OrderByNameASC</x:v>
      </x:c>
      <x:c r="J6" s="3" t="e">
        <x:f>HYPERLINK("https://www.marcimex.com/api/catalog_system/pub/products/search?_from=0&amp;_to=49&amp;O=OrderByNameASC","https://www.marcimex.com/api/catalog_system/pub/products/search?_from=0&amp;_to=49&amp;O=OrderByNameASC")</x:f>
        <x:v>HYPERLINK is not implemented. linkLocation=https://www.marcimex.com/api/catalog_system/pub/products/search?_from=0&amp;_to=49&amp;O=OrderByNameASC, friendlyName=https://www.marcimex.com/api/catalog_system/pub/products/search?_from=0&amp;_to=49&amp;O=OrderByNameASC</x:v>
      </x:c>
      <x:c r="K6" s="3" t="e">
        <x:f>HYPERLINK("https://www.marcimex.com/api/catalog_system/pub/products/search?_from=0&amp;_to=1","https://www.marcimex.com/api/catalog_system/pub/products/search?_from=0&amp;_to=1")</x:f>
        <x:v>HYPERLINK is not implemented. linkLocation=https://www.marcimex.com/api/catalog_system/pub/products/search?_from=0&amp;_to=1, friendlyName=https://www.marcimex.com/api/catalog_system/pub/products/search?_from=0&amp;_to=1</x:v>
      </x:c>
      <x:c r="L6" s="3" t="e">
        <x:f>HYPERLINK("https://developers.vtex.com/docs/api-reference/search-api","https://developers.vtex.com/docs/api-reference/search-api")</x:f>
        <x:v>HYPERLINK is not implemented. linkLocation=https://developers.vtex.com/docs/api-reference/search-api, friendlyName=https://developers.vtex.com/docs/api-reference/search-api</x:v>
      </x:c>
    </x:row>
    <x:row r="7" ht="92.4000015258789" hidden="0" customHeight="1">
      <x:c r="A7" s="3" t="str">
        <x:v>Novicompu</x:v>
      </x:c>
      <x:c r="B7" s="3" t="n">
        <x:v>206</x:v>
      </x:c>
      <x:c r="C7" s="3" t="n">
        <x:v>3043</x:v>
      </x:c>
      <x:c r="D7" s="3" t="str">
        <x:v>Bloques de 50 y partición por categorías. Recuperación de HTTP 500 en bloques de 10 o 1.</x:v>
      </x:c>
      <x:c r="E7" s="3" t="str">
        <x:v>_from / _to; filtros por categoría</x:v>
      </x:c>
      <x:c r="F7" s="3" t="str">
        <x:v>productId, productName, brand, categories, items, images, sellers, commertialOffer</x:v>
      </x:c>
      <x:c r="G7" s="3" t="str">
        <x:v>IDs únicos frente al total declarado. Conserva variantes y vendedores.</x:v>
      </x:c>
      <x:c r="H7" s="3" t="str">
        <x:v>Celular ENV Neo Pro Max | 128 GB, 4 GB RAM</x:v>
      </x:c>
      <x:c r="I7" s="3" t="str">
        <x:v>GET https://www.novicompu.com/api/catalog_system/pub/products/search?_from=0&amp;_to=49&amp;O=OrderByNameASC</x:v>
      </x:c>
      <x:c r="J7" s="3" t="e">
        <x:f>HYPERLINK("https://www.novicompu.com/api/catalog_system/pub/products/search?_from=0&amp;_to=49&amp;O=OrderByNameASC","https://www.novicompu.com/api/catalog_system/pub/products/search?_from=0&amp;_to=49&amp;O=OrderByNameASC")</x:f>
        <x:v>HYPERLINK is not implemented. linkLocation=https://www.novicompu.com/api/catalog_system/pub/products/search?_from=0&amp;_to=49&amp;O=OrderByNameASC, friendlyName=https://www.novicompu.com/api/catalog_system/pub/products/search?_from=0&amp;_to=49&amp;O=OrderByNameASC</x:v>
      </x:c>
      <x:c r="K7" s="3" t="e">
        <x:f>HYPERLINK("https://www.novicompu.com/api/catalog_system/pub/products/search?_from=0&amp;_to=1","https://www.novicompu.com/api/catalog_system/pub/products/search?_from=0&amp;_to=1")</x:f>
        <x:v>HYPERLINK is not implemented. linkLocation=https://www.novicompu.com/api/catalog_system/pub/products/search?_from=0&amp;_to=1, friendlyName=https://www.novicompu.com/api/catalog_system/pub/products/search?_from=0&amp;_to=1</x:v>
      </x:c>
      <x:c r="L7" s="3" t="e">
        <x:f>HYPERLINK("https://developers.vtex.com/docs/api-reference/search-api","https://developers.vtex.com/docs/api-reference/search-api")</x:f>
        <x:v>HYPERLINK is not implemented. linkLocation=https://developers.vtex.com/docs/api-reference/search-api, friendlyName=https://developers.vtex.com/docs/api-reference/search-api</x:v>
      </x:c>
    </x:row>
    <x:row r="8" ht="92.4000015258789" hidden="0" customHeight="1">
      <x:c r="A8" s="3" t="str">
        <x:v>Pycca</x:v>
      </x:c>
      <x:c r="B8" s="3" t="n">
        <x:v>206</x:v>
      </x:c>
      <x:c r="C8" s="3" t="n">
        <x:v>9214</x:v>
      </x:c>
      <x:c r="D8" s="3" t="str">
        <x:v>Bloques de 50 y partición por categorías. Recuperación de HTTP 500 en bloques de 10 o 1.</x:v>
      </x:c>
      <x:c r="E8" s="3" t="str">
        <x:v>_from / _to; filtros por categoría</x:v>
      </x:c>
      <x:c r="F8" s="3" t="str">
        <x:v>productId, productName, brand, categories, items, images, sellers, commertialOffer</x:v>
      </x:c>
      <x:c r="G8" s="3" t="str">
        <x:v>IDs únicos frente al total declarado. Conserva variantes y vendedores.</x:v>
      </x:c>
      <x:c r="H8" s="3" t="str">
        <x:v>Colchón Chaide y Chaide Continental de Lujo Pillow Top Gris</x:v>
      </x:c>
      <x:c r="I8" s="3" t="str">
        <x:v>GET https://www.pycca.com/api/catalog_system/pub/products/search?_from=0&amp;_to=49&amp;O=OrderByNameASC</x:v>
      </x:c>
      <x:c r="J8" s="3" t="e">
        <x:f>HYPERLINK("https://www.pycca.com/api/catalog_system/pub/products/search?_from=0&amp;_to=49&amp;O=OrderByNameASC","https://www.pycca.com/api/catalog_system/pub/products/search?_from=0&amp;_to=49&amp;O=OrderByNameASC")</x:f>
        <x:v>HYPERLINK is not implemented. linkLocation=https://www.pycca.com/api/catalog_system/pub/products/search?_from=0&amp;_to=49&amp;O=OrderByNameASC, friendlyName=https://www.pycca.com/api/catalog_system/pub/products/search?_from=0&amp;_to=49&amp;O=OrderByNameASC</x:v>
      </x:c>
      <x:c r="K8" s="3" t="e">
        <x:f>HYPERLINK("https://www.pycca.com/api/catalog_system/pub/products/search?_from=0&amp;_to=1","https://www.pycca.com/api/catalog_system/pub/products/search?_from=0&amp;_to=1")</x:f>
        <x:v>HYPERLINK is not implemented. linkLocation=https://www.pycca.com/api/catalog_system/pub/products/search?_from=0&amp;_to=1, friendlyName=https://www.pycca.com/api/catalog_system/pub/products/search?_from=0&amp;_to=1</x:v>
      </x:c>
      <x:c r="L8" s="3" t="e">
        <x:f>HYPERLINK("https://developers.vtex.com/docs/api-reference/search-api","https://developers.vtex.com/docs/api-reference/search-api")</x:f>
        <x:v>HYPERLINK is not implemented. linkLocation=https://developers.vtex.com/docs/api-reference/search-api, friendlyName=https://developers.vtex.com/docs/api-reference/search-api</x:v>
      </x:c>
    </x:row>
    <x:row r="9" ht="92.4000015258789" hidden="0" customHeight="1">
      <x:c r="A9" s="3" t="str">
        <x:v>Almacenes Japón</x:v>
      </x:c>
      <x:c r="B9" s="3" t="n">
        <x:v>206</x:v>
      </x:c>
      <x:c r="C9" s="3" t="n">
        <x:v>7537</x:v>
      </x:c>
      <x:c r="D9" s="3" t="str">
        <x:v>Bloques de 50 y partición por categorías. Recuperación de HTTP 500 en bloques de 10 o 1.</x:v>
      </x:c>
      <x:c r="E9" s="3" t="str">
        <x:v>_from / _to; filtros por categoría</x:v>
      </x:c>
      <x:c r="F9" s="3" t="str">
        <x:v>productId, productName, brand, categories, items, images, sellers, commertialOffer</x:v>
      </x:c>
      <x:c r="G9" s="3" t="str">
        <x:v>IDs únicos frente al total declarado. Conserva variantes y vendedores.</x:v>
      </x:c>
      <x:c r="H9" s="3" t="str">
        <x:v>CELULAR HNR X5D 4+128GB GRIS</x:v>
      </x:c>
      <x:c r="I9" s="3" t="str">
        <x:v>GET https://www.almacenesjapon.com/api/catalog_system/pub/products/search?_from=0&amp;_to=49&amp;O=OrderByNameASC</x:v>
      </x:c>
      <x:c r="J9" s="3" t="e">
        <x:f>HYPERLINK("https://www.almacenesjapon.com/api/catalog_system/pub/products/search?_from=0&amp;_to=49&amp;O=OrderByNameASC","https://www.almacenesjapon.com/api/catalog_system/pub/products/search?_from=0&amp;_to=49&amp;O=OrderByNameASC")</x:f>
        <x:v>HYPERLINK is not implemented. linkLocation=https://www.almacenesjapon.com/api/catalog_system/pub/products/search?_from=0&amp;_to=49&amp;O=OrderByNameASC, friendlyName=https://www.almacenesjapon.com/api/catalog_system/pub/products/search?_from=0&amp;_to=49&amp;O=OrderByNameASC</x:v>
      </x:c>
      <x:c r="K9" s="3" t="e">
        <x:f>HYPERLINK("https://www.almacenesjapon.com/api/catalog_system/pub/products/search?_from=0&amp;_to=1","https://www.almacenesjapon.com/api/catalog_system/pub/products/search?_from=0&amp;_to=1")</x:f>
        <x:v>HYPERLINK is not implemented. linkLocation=https://www.almacenesjapon.com/api/catalog_system/pub/products/search?_from=0&amp;_to=1, friendlyName=https://www.almacenesjapon.com/api/catalog_system/pub/products/search?_from=0&amp;_to=1</x:v>
      </x:c>
      <x:c r="L9" s="3" t="e">
        <x:f>HYPERLINK("https://developers.vtex.com/docs/api-reference/search-api","https://developers.vtex.com/docs/api-reference/search-api")</x:f>
        <x:v>HYPERLINK is not implemented. linkLocation=https://developers.vtex.com/docs/api-reference/search-api, friendlyName=https://developers.vtex.com/docs/api-reference/search-api</x:v>
      </x:c>
    </x:row>
    <x:row r="10" ht="66" hidden="0" customHeight="1">
      <x:c r="A10" s="3" t="str">
        <x:v>Colineal</x:v>
      </x:c>
      <x:c r="B10" s="3" t="n">
        <x:v>200</x:v>
      </x:c>
      <x:c r="C10" s="3"/>
      <x:c r="D10" s="3" t="str">
        <x:v>Páginas de 250 hasta una respuesta sin productos.</x:v>
      </x:c>
      <x:c r="E10" s="3" t="str">
        <x:v>page / limit; dos páginas distintas</x:v>
      </x:c>
      <x:c r="F10" s="3" t="str">
        <x:v>id, title, handle, vendor, product_type, variants, images</x:v>
      </x:c>
      <x:c r="G10" s="3" t="str">
        <x:v>Listado público products.json. Moneda comprobada mediante cart.js. Conserva variantes.</x:v>
      </x:c>
      <x:c r="H10" s="3" t="str">
        <x:v>Lampara de Techo Estanys Eglo</x:v>
      </x:c>
      <x:c r="I10" s="3" t="str">
        <x:v>GET products.json. Consulta auxiliar: https://colineal.com/cart.js</x:v>
      </x:c>
      <x:c r="J10" s="3" t="e">
        <x:f>HYPERLINK("https://colineal.com/products.json?limit=250&amp;page=1","https://colineal.com/products.json?limit=250&amp;page=1")</x:f>
        <x:v>HYPERLINK is not implemented. linkLocation=https://colineal.com/products.json?limit=250&amp;page=1, friendlyName=https://colineal.com/products.json?limit=250&amp;page=1</x:v>
      </x:c>
      <x:c r="K10" s="3" t="e">
        <x:f>HYPERLINK("https://colineal.com/products.json?limit=2","https://colineal.com/products.json?limit=2")</x:f>
        <x:v>HYPERLINK is not implemented. linkLocation=https://colineal.com/products.json?limit=2, friendlyName=https://colineal.com/products.json?limit=2</x:v>
      </x:c>
      <x:c r="L10" s="3" t="e">
        <x:f>HYPERLINK("https://shopify.dev/docs/api/ajax/reference/product","https://shopify.dev/docs/api/ajax/reference/product")</x:f>
        <x:v>HYPERLINK is not implemented. linkLocation=https://shopify.dev/docs/api/ajax/reference/product, friendlyName=https://shopify.dev/docs/api/ajax/reference/product</x:v>
      </x:c>
    </x:row>
    <x:row r="11" ht="66" hidden="0" customHeight="1">
      <x:c r="A11" s="3" t="str">
        <x:v>EkuStore</x:v>
      </x:c>
      <x:c r="B11" s="3" t="n">
        <x:v>200</x:v>
      </x:c>
      <x:c r="C11" s="3"/>
      <x:c r="D11" s="3" t="str">
        <x:v>Páginas de 250 hasta una respuesta sin productos.</x:v>
      </x:c>
      <x:c r="E11" s="3" t="str">
        <x:v>page / limit; dos páginas distintas</x:v>
      </x:c>
      <x:c r="F11" s="3" t="str">
        <x:v>id, title, handle, vendor, product_type, variants, images</x:v>
      </x:c>
      <x:c r="G11" s="3" t="str">
        <x:v>Listado público products.json. Moneda comprobada mediante cart.js. Conserva variantes.</x:v>
      </x:c>
      <x:c r="H11" s="3" t="str">
        <x:v>AUDIFONOS AOC BLACK ACT1501BK BT 5,4 350MAH USB-C GARANTIA 12 MESES</x:v>
      </x:c>
      <x:c r="I11" s="3" t="str">
        <x:v>GET products.json. Consulta auxiliar: https://ekustore.com/cart.js</x:v>
      </x:c>
      <x:c r="J11" s="3" t="e">
        <x:f>HYPERLINK("https://ekustore.com/products.json?limit=250&amp;page=1","https://ekustore.com/products.json?limit=250&amp;page=1")</x:f>
        <x:v>HYPERLINK is not implemented. linkLocation=https://ekustore.com/products.json?limit=250&amp;page=1, friendlyName=https://ekustore.com/products.json?limit=250&amp;page=1</x:v>
      </x:c>
      <x:c r="K11" s="3" t="e">
        <x:f>HYPERLINK("https://ekustore.com/products.json?limit=2","https://ekustore.com/products.json?limit=2")</x:f>
        <x:v>HYPERLINK is not implemented. linkLocation=https://ekustore.com/products.json?limit=2, friendlyName=https://ekustore.com/products.json?limit=2</x:v>
      </x:c>
      <x:c r="L11" s="3" t="e">
        <x:f>HYPERLINK("https://shopify.dev/docs/api/ajax/reference/product","https://shopify.dev/docs/api/ajax/reference/product")</x:f>
        <x:v>HYPERLINK is not implemented. linkLocation=https://shopify.dev/docs/api/ajax/reference/product, friendlyName=https://shopify.dev/docs/api/ajax/reference/product</x:v>
      </x:c>
    </x:row>
    <x:row r="12" ht="92.4000015258789" hidden="0" customHeight="1">
      <x:c r="A12" s="3" t="str">
        <x:v>Kywi</x:v>
      </x:c>
      <x:c r="B12" s="3" t="n">
        <x:v>206</x:v>
      </x:c>
      <x:c r="C12" s="3" t="n">
        <x:v>30647</x:v>
      </x:c>
      <x:c r="D12" s="3" t="str">
        <x:v>Bloques de 50 y partición por categorías. Recuperación de HTTP 500 en bloques de 10 o 1.</x:v>
      </x:c>
      <x:c r="E12" s="3" t="str">
        <x:v>_from / _to; filtros por categoría</x:v>
      </x:c>
      <x:c r="F12" s="3" t="str">
        <x:v>productId, productName, brand, categories, items, images, sellers, commertialOffer</x:v>
      </x:c>
      <x:c r="G12" s="3" t="str">
        <x:v>IDs únicos frente al total declarado. Conserva variantes y vendedores.</x:v>
      </x:c>
      <x:c r="H12" s="3" t="str">
        <x:v>Fregadero multifunción de 75 x 46 x 22 cm con botones. - K HOME</x:v>
      </x:c>
      <x:c r="I12" s="3" t="str">
        <x:v>GET https://www.kywi.com.ec/api/catalog_system/pub/products/search?_from=0&amp;_to=49&amp;O=OrderByNameASC</x:v>
      </x:c>
      <x:c r="J12" s="3" t="e">
        <x:f>HYPERLINK("https://www.kywi.com.ec/api/catalog_system/pub/products/search?_from=0&amp;_to=49&amp;O=OrderByNameASC","https://www.kywi.com.ec/api/catalog_system/pub/products/search?_from=0&amp;_to=49&amp;O=OrderByNameASC")</x:f>
        <x:v>HYPERLINK is not implemented. linkLocation=https://www.kywi.com.ec/api/catalog_system/pub/products/search?_from=0&amp;_to=49&amp;O=OrderByNameASC, friendlyName=https://www.kywi.com.ec/api/catalog_system/pub/products/search?_from=0&amp;_to=49&amp;O=OrderByNameASC</x:v>
      </x:c>
      <x:c r="K12" s="3" t="e">
        <x:f>HYPERLINK("https://www.kywi.com.ec/api/catalog_system/pub/products/search?_from=0&amp;_to=1","https://www.kywi.com.ec/api/catalog_system/pub/products/search?_from=0&amp;_to=1")</x:f>
        <x:v>HYPERLINK is not implemented. linkLocation=https://www.kywi.com.ec/api/catalog_system/pub/products/search?_from=0&amp;_to=1, friendlyName=https://www.kywi.com.ec/api/catalog_system/pub/products/search?_from=0&amp;_to=1</x:v>
      </x:c>
      <x:c r="L12" s="3" t="e">
        <x:f>HYPERLINK("https://developers.vtex.com/docs/api-reference/search-api","https://developers.vtex.com/docs/api-reference/search-api")</x:f>
        <x:v>HYPERLINK is not implemented. linkLocation=https://developers.vtex.com/docs/api-reference/search-api, friendlyName=https://developers.vtex.com/docs/api-reference/search-api</x:v>
      </x:c>
    </x:row>
    <x:row r="13" ht="145.1999969482422" hidden="0" customHeight="1">
      <x:c r="A13" s="3" t="str">
        <x:v>La Ganga</x:v>
      </x:c>
      <x:c r="B13" s="3" t="n">
        <x:v>200</x:v>
      </x:c>
      <x:c r="C13" s="3" t="n">
        <x:v>333</x:v>
      </x:c>
      <x:c r="D13" s="3" t="str">
        <x:v>Páginas de 100 mediante currentPage y total_count.</x:v>
      </x:c>
      <x:c r="E13" s="3" t="str">
        <x:v>currentPage / pageSize; total_count</x:v>
      </x:c>
      <x:c r="F13" s="3" t="str">
        <x:v>sku, name, url_key, price_range, currency, image, stock_status</x:v>
      </x:c>
      <x:c r="G13" s="3" t="str">
        <x:v>Consulta GraphQL de productos. Normaliza precio final, SKU y disponibilidad.</x:v>
      </x:c>
      <x:c r="H13" s="3" t="str">
        <x:v>Combo Refrigeradora Side by Side Electrolux 419L ERS45F3Q5EB + Freidora de Aire Electrolux 5.6L EAF45 </x:v>
      </x:c>
      <x:c r="I13" s="3" t="str">
        <x:v>{products(search:"",pageSize:100,currentPage:1,sort:{name:ASC}){total_count items{sku name url_key url_suffix description{html} price_range{minimum_price{final_price{value currency}}} image{url} stock_status categories{name}}}}</x:v>
      </x:c>
      <x:c r="J13" s="3" t="e">
        <x:f>HYPERLINK("https://laganga.com/graphql?query=%7Bproducts%28search%3A%22%22%2CpageSize%3A100%2CcurrentPage%3A1%2Csort%3A%7Bname%3AASC%7D%29%7Btotal_count+items%7Bsku+name+url_key+url_suffix+description%7Bhtml%7D+price_range%7Bminimum_price%7Bfinal_price%7Bvalue+currency%7D%7D%7D+image%7Burl%7D+stock_status+categories%7Bname%7D%7D%7D%7D","https://laganga.com/graphql (consulta de productos)")</x:f>
        <x:v>HYPERLINK is not implemented. linkLocation=https://laganga.com/graphql?query=%7Bproducts%28search%3A%22%22%2CpageSize%3A100%2CcurrentPage%3A1%2Csort%3A%7Bname%3AASC%7D%29%7Btotal_count+items%7Bsku+name+url_key+url_suffix+description%7Bhtml%7D+price_range%7Bminimum_price%7Bfinal_price%7Bvalue+currency%7D%7D%7D+image%7Burl%7D+stock_status+categories%7Bname%7D%7D%7D%7D, friendlyName=https://laganga.com/graphql (consulta de productos)</x:v>
      </x:c>
      <x:c r="K13" s="3" t="e">
        <x:f>HYPERLINK("https://laganga.com/graphql","https://laganga.com/graphql")</x:f>
        <x:v>HYPERLINK is not implemented. linkLocation=https://laganga.com/graphql, friendlyName=https://laganga.com/graphql</x:v>
      </x:c>
      <x:c r="L13" s="3" t="e">
        <x:f>HYPERLINK("https://developer.adobe.com/commerce/webapi/graphql/schema/products/queries/products/","https://developer.adobe.com/commerce/webapi/graphql/schema/products/queries/products/")</x:f>
        <x:v>HYPERLINK is not implemented. linkLocation=https://developer.adobe.com/commerce/webapi/graphql/schema/products/queries/products/, friendlyName=https://developer.adobe.com/commerce/webapi/graphql/schema/products/queries/products/</x:v>
      </x:c>
    </x:row>
    <x:row r="14" ht="66" hidden="0" customHeight="1">
      <x:c r="A14" s="3" t="str">
        <x:v>NewStore</x:v>
      </x:c>
      <x:c r="B14" s="3" t="n">
        <x:v>200</x:v>
      </x:c>
      <x:c r="C14" s="3"/>
      <x:c r="D14" s="3" t="str">
        <x:v>Páginas de 250 hasta una respuesta sin productos.</x:v>
      </x:c>
      <x:c r="E14" s="3" t="str">
        <x:v>page / limit; dos páginas distintas</x:v>
      </x:c>
      <x:c r="F14" s="3" t="str">
        <x:v>id, title, handle, vendor, product_type, variants, images</x:v>
      </x:c>
      <x:c r="G14" s="3" t="str">
        <x:v>Listado público products.json. Moneda comprobada mediante cart.js. Conserva variantes.</x:v>
      </x:c>
      <x:c r="H14" s="3" t="str">
        <x:v>Impresora HP Smart Tank 584</x:v>
      </x:c>
      <x:c r="I14" s="3" t="str">
        <x:v>GET products.json. Consulta auxiliar: https://www.newstoregye.com/cart.js</x:v>
      </x:c>
      <x:c r="J14" s="3" t="e">
        <x:f>HYPERLINK("https://www.newstoregye.com/products.json?limit=250&amp;page=1","https://www.newstoregye.com/products.json?limit=250&amp;page=1")</x:f>
        <x:v>HYPERLINK is not implemented. linkLocation=https://www.newstoregye.com/products.json?limit=250&amp;page=1, friendlyName=https://www.newstoregye.com/products.json?limit=250&amp;page=1</x:v>
      </x:c>
      <x:c r="K14" s="3" t="e">
        <x:f>HYPERLINK("https://www.newstoregye.com/products.json?limit=2","https://www.newstoregye.com/products.json?limit=2")</x:f>
        <x:v>HYPERLINK is not implemented. linkLocation=https://www.newstoregye.com/products.json?limit=2, friendlyName=https://www.newstoregye.com/products.json?limit=2</x:v>
      </x:c>
      <x:c r="L14" s="3" t="e">
        <x:f>HYPERLINK("https://shopify.dev/docs/api/ajax/reference/product","https://shopify.dev/docs/api/ajax/reference/product")</x:f>
        <x:v>HYPERLINK is not implemented. linkLocation=https://shopify.dev/docs/api/ajax/reference/product, friendlyName=https://shopify.dev/docs/api/ajax/reference/product</x:v>
      </x:c>
    </x:row>
    <x:row r="15" ht="158.39999389648438" hidden="0" customHeight="1">
      <x:c r="A15" s="3" t="str">
        <x:v>Pintulac</x:v>
      </x:c>
      <x:c r="B15" s="3" t="n">
        <x:v>200</x:v>
      </x:c>
      <x:c r="C15" s="3" t="n">
        <x:v>8057</x:v>
      </x:c>
      <x:c r="D15" s="3" t="str">
        <x:v>Páginas de 100 mediante currentPage y total_count.</x:v>
      </x:c>
      <x:c r="E15" s="3" t="str">
        <x:v>currentPage / pageSize; total_count</x:v>
      </x:c>
      <x:c r="F15" s="3" t="str">
        <x:v>sku, name, url_key, price_range, currency, image, stock_status</x:v>
      </x:c>
      <x:c r="G15" s="3" t="str">
        <x:v>Consulta GraphQL de productos. Normaliza precio final, SKU y disponibilidad.</x:v>
      </x:c>
      <x:c r="H15" s="3" t="str">
        <x:v>COMBO 2X1 RESINA EPÓXICA CATALIZADOR 2:1 600GR WESCO</x:v>
      </x:c>
      <x:c r="I15" s="3" t="str">
        <x:v>{products(search:"",pageSize:100,currentPage:1,sort:{name:ASC}){total_count items{sku name url_key url_suffix description{html} price_range{minimum_price{final_price{value currency}}} image{url} stock_status categories{name}}}}</x:v>
      </x:c>
      <x:c r="J15" s="3" t="e">
        <x:f>HYPERLINK("https://www.pintulac.com.ec/graphql?query=%7Bproducts%28search%3A%22%22%2CpageSize%3A100%2CcurrentPage%3A1%2Csort%3A%7Bname%3AASC%7D%29%7Btotal_count+items%7Bsku+name+url_key+url_suffix+description%7Bhtml%7D+price_range%7Bminimum_price%7Bfinal_price%7Bvalue+currency%7D%7D%7D+image%7Burl%7D+stock_status+categories%7Bname%7D%7D%7D%7D","https://www.pintulac.com.ec/graphql (consulta de productos)")</x:f>
        <x:v>HYPERLINK is not implemented. linkLocation=https://www.pintulac.com.ec/graphql?query=%7Bproducts%28search%3A%22%22%2CpageSize%3A100%2CcurrentPage%3A1%2Csort%3A%7Bname%3AASC%7D%29%7Btotal_count+items%7Bsku+name+url_key+url_suffix+description%7Bhtml%7D+price_range%7Bminimum_price%7Bfinal_price%7Bvalue+currency%7D%7D%7D+image%7Burl%7D+stock_status+categories%7Bname%7D%7D%7D%7D, friendlyName=https://www.pintulac.com.ec/graphql (consulta de productos)</x:v>
      </x:c>
      <x:c r="K15" s="3" t="e">
        <x:f>HYPERLINK("https://www.pintulac.com.ec/graphql","https://www.pintulac.com.ec/graphql")</x:f>
        <x:v>HYPERLINK is not implemented. linkLocation=https://www.pintulac.com.ec/graphql, friendlyName=https://www.pintulac.com.ec/graphql</x:v>
      </x:c>
      <x:c r="L15" s="3" t="e">
        <x:f>HYPERLINK("https://developer.adobe.com/commerce/webapi/graphql/schema/products/queries/products/","https://developer.adobe.com/commerce/webapi/graphql/schema/products/queries/products/")</x:f>
        <x:v>HYPERLINK is not implemented. linkLocation=https://developer.adobe.com/commerce/webapi/graphql/schema/products/queries/products/, friendlyName=https://developer.adobe.com/commerce/webapi/graphql/schema/products/queries/products/</x:v>
      </x:c>
    </x:row>
    <x:row r="16" ht="66" hidden="0" customHeight="1">
      <x:c r="A16" s="3" t="str">
        <x:v>Randall Tech</x:v>
      </x:c>
      <x:c r="B16" s="3" t="n">
        <x:v>200</x:v>
      </x:c>
      <x:c r="C16" s="3"/>
      <x:c r="D16" s="3" t="str">
        <x:v>Páginas de 250 hasta una respuesta sin productos.</x:v>
      </x:c>
      <x:c r="E16" s="3" t="str">
        <x:v>page / limit; dos páginas distintas</x:v>
      </x:c>
      <x:c r="F16" s="3" t="str">
        <x:v>id, title, handle, vendor, product_type, variants, images</x:v>
      </x:c>
      <x:c r="G16" s="3" t="str">
        <x:v>Listado público products.json. Moneda comprobada mediante cart.js. Conserva variantes.</x:v>
      </x:c>
      <x:c r="H16" s="3" t="str">
        <x:v>Cámara Doble Lente con Panel Solar</x:v>
      </x:c>
      <x:c r="I16" s="3" t="str">
        <x:v>GET products.json. Consulta auxiliar: https://randall-tech.com/cart.js</x:v>
      </x:c>
      <x:c r="J16" s="3" t="e">
        <x:f>HYPERLINK("https://randall-tech.com/products.json?limit=250&amp;page=1","https://randall-tech.com/products.json?limit=250&amp;page=1")</x:f>
        <x:v>HYPERLINK is not implemented. linkLocation=https://randall-tech.com/products.json?limit=250&amp;page=1, friendlyName=https://randall-tech.com/products.json?limit=250&amp;page=1</x:v>
      </x:c>
      <x:c r="K16" s="3" t="e">
        <x:f>HYPERLINK("https://randall-tech.com/products.json?limit=2","https://randall-tech.com/products.json?limit=2")</x:f>
        <x:v>HYPERLINK is not implemented. linkLocation=https://randall-tech.com/products.json?limit=2, friendlyName=https://randall-tech.com/products.json?limit=2</x:v>
      </x:c>
      <x:c r="L16" s="3" t="e">
        <x:f>HYPERLINK("https://shopify.dev/docs/api/ajax/reference/product","https://shopify.dev/docs/api/ajax/reference/product")</x:f>
        <x:v>HYPERLINK is not implemented. linkLocation=https://shopify.dev/docs/api/ajax/reference/product, friendlyName=https://shopify.dev/docs/api/ajax/reference/product</x:v>
      </x:c>
    </x:row>
    <x:row r="17" ht="66" hidden="0" customHeight="1">
      <x:c r="A17" s="3" t="str">
        <x:v>Smart Home EC</x:v>
      </x:c>
      <x:c r="B17" s="3" t="n">
        <x:v>200</x:v>
      </x:c>
      <x:c r="C17" s="3"/>
      <x:c r="D17" s="3" t="str">
        <x:v>Páginas de 250 hasta una respuesta sin productos.</x:v>
      </x:c>
      <x:c r="E17" s="3" t="str">
        <x:v>page / limit; dos páginas distintas</x:v>
      </x:c>
      <x:c r="F17" s="3" t="str">
        <x:v>id, title, handle, vendor, product_type, variants, images</x:v>
      </x:c>
      <x:c r="G17" s="3" t="str">
        <x:v>Listado público products.json. Moneda comprobada mediante cart.js. Conserva variantes.</x:v>
      </x:c>
      <x:c r="H17" s="3" t="str">
        <x:v>👩‍🍳🔥 COMBO COCINA 🔥👩‍🍳</x:v>
      </x:c>
      <x:c r="I17" s="3" t="str">
        <x:v>GET products.json. Consulta auxiliar: https://smarthomeecstore.com/cart.js</x:v>
      </x:c>
      <x:c r="J17" s="3" t="e">
        <x:f>HYPERLINK("https://smarthomeecstore.com/products.json?limit=250&amp;page=1","https://smarthomeecstore.com/products.json?limit=250&amp;page=1")</x:f>
        <x:v>HYPERLINK is not implemented. linkLocation=https://smarthomeecstore.com/products.json?limit=250&amp;page=1, friendlyName=https://smarthomeecstore.com/products.json?limit=250&amp;page=1</x:v>
      </x:c>
      <x:c r="K17" s="3" t="e">
        <x:f>HYPERLINK("https://smarthomeecstore.com/products.json?limit=2","https://smarthomeecstore.com/products.json?limit=2")</x:f>
        <x:v>HYPERLINK is not implemented. linkLocation=https://smarthomeecstore.com/products.json?limit=2, friendlyName=https://smarthomeecstore.com/products.json?limit=2</x:v>
      </x:c>
      <x:c r="L17" s="3" t="e">
        <x:f>HYPERLINK("https://shopify.dev/docs/api/ajax/reference/product","https://shopify.dev/docs/api/ajax/reference/product")</x:f>
        <x:v>HYPERLINK is not implemented. linkLocation=https://shopify.dev/docs/api/ajax/reference/product, friendlyName=https://shopify.dev/docs/api/ajax/reference/product</x:v>
      </x:c>
    </x:row>
    <x:row r="18" ht="158.39999389648438" hidden="0" customHeight="1">
      <x:c r="A18" s="3" t="str">
        <x:v>Steren Ecuador</x:v>
      </x:c>
      <x:c r="B18" s="3" t="n">
        <x:v>200</x:v>
      </x:c>
      <x:c r="C18" s="3" t="n">
        <x:v>2299</x:v>
      </x:c>
      <x:c r="D18" s="3" t="str">
        <x:v>Páginas de 100 mediante currentPage y total_count.</x:v>
      </x:c>
      <x:c r="E18" s="3" t="str">
        <x:v>currentPage / pageSize; total_count</x:v>
      </x:c>
      <x:c r="F18" s="3" t="str">
        <x:v>sku, name, url_key, price_range, currency, image, stock_status</x:v>
      </x:c>
      <x:c r="G18" s="3" t="str">
        <x:v>Consulta GraphQL de productos. Normaliza precio final, SKU y disponibilidad.</x:v>
      </x:c>
      <x:c r="H18" s="3" t="str">
        <x:v>3 mini linternas LED tipo llavero con batería recargable</x:v>
      </x:c>
      <x:c r="I18" s="3" t="str">
        <x:v>{products(search:"",pageSize:100,currentPage:1,sort:{name:ASC}){total_count items{sku name url_key url_suffix description{html} price_range{minimum_price{final_price{value currency}}} image{url} stock_status categories{name}}}}</x:v>
      </x:c>
      <x:c r="J18" s="3" t="e">
        <x:f>HYPERLINK("https://www.steren.com.ec/graphql?query=%7Bproducts%28search%3A%22%22%2CpageSize%3A100%2CcurrentPage%3A1%2Csort%3A%7Bname%3AASC%7D%29%7Btotal_count+items%7Bsku+name+url_key+url_suffix+description%7Bhtml%7D+price_range%7Bminimum_price%7Bfinal_price%7Bvalue+currency%7D%7D%7D+image%7Burl%7D+stock_status+categories%7Bname%7D%7D%7D%7D","https://www.steren.com.ec/graphql (consulta de productos)")</x:f>
        <x:v>HYPERLINK is not implemented. linkLocation=https://www.steren.com.ec/graphql?query=%7Bproducts%28search%3A%22%22%2CpageSize%3A100%2CcurrentPage%3A1%2Csort%3A%7Bname%3AASC%7D%29%7Btotal_count+items%7Bsku+name+url_key+url_suffix+description%7Bhtml%7D+price_range%7Bminimum_price%7Bfinal_price%7Bvalue+currency%7D%7D%7D+image%7Burl%7D+stock_status+categories%7Bname%7D%7D%7D%7D, friendlyName=https://www.steren.com.ec/graphql (consulta de productos)</x:v>
      </x:c>
      <x:c r="K18" s="3" t="e">
        <x:f>HYPERLINK("https://www.steren.com.ec/graphql","https://www.steren.com.ec/graphql")</x:f>
        <x:v>HYPERLINK is not implemented. linkLocation=https://www.steren.com.ec/graphql, friendlyName=https://www.steren.com.ec/graphql</x:v>
      </x:c>
      <x:c r="L18" s="3" t="e">
        <x:f>HYPERLINK("https://developer.adobe.com/commerce/webapi/graphql/schema/products/queries/products/","https://developer.adobe.com/commerce/webapi/graphql/schema/products/queries/products/")</x:f>
        <x:v>HYPERLINK is not implemented. linkLocation=https://developer.adobe.com/commerce/webapi/graphql/schema/products/queries/products/, friendlyName=https://developer.adobe.com/commerce/webapi/graphql/schema/products/queries/products/</x:v>
      </x:c>
    </x:row>
  </x:sheetData>
  <x:pageMargins left="0.7" right="0.7" top="0.75" bottom="0.75" header="0.3" footer="0.3"/>
</x:worksheet>
</file>